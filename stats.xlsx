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E7AAC725-151E-4220-8963-F88D923C19F1/Library/Application Support/Drafts/"/>
    </mc:Choice>
  </mc:AlternateContent>
  <xr:revisionPtr revIDLastSave="0" documentId="8_{E3777C6A-8390-D14A-9D09-69FBD820279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og" sheetId="1" r:id="rId1"/>
    <sheet name="SUMMARY" sheetId="4" r:id="rId2"/>
    <sheet name="PLAYERS" sheetId="5" r:id="rId3"/>
  </sheets>
  <calcPr calcId="191028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1" i="1" l="1"/>
  <c r="J372" i="1"/>
  <c r="J373" i="1"/>
  <c r="J374" i="1"/>
  <c r="J375" i="1"/>
  <c r="J376" i="1"/>
  <c r="J377" i="1"/>
  <c r="J378" i="1"/>
  <c r="J379" i="1"/>
  <c r="J380" i="1"/>
  <c r="J381" i="1"/>
  <c r="N371" i="1"/>
  <c r="N372" i="1"/>
  <c r="N373" i="1"/>
  <c r="N374" i="1"/>
  <c r="N375" i="1"/>
  <c r="N376" i="1"/>
  <c r="N377" i="1"/>
  <c r="N378" i="1"/>
  <c r="N379" i="1"/>
  <c r="N380" i="1"/>
  <c r="N381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K11" i="4"/>
  <c r="J259" i="1"/>
  <c r="J260" i="1"/>
  <c r="J261" i="1"/>
  <c r="J262" i="1"/>
  <c r="J263" i="1"/>
  <c r="J264" i="1"/>
  <c r="J265" i="1"/>
  <c r="J266" i="1"/>
  <c r="J267" i="1"/>
  <c r="J268" i="1"/>
  <c r="J269" i="1"/>
  <c r="N259" i="1"/>
  <c r="N260" i="1"/>
  <c r="N261" i="1"/>
  <c r="N262" i="1"/>
  <c r="N263" i="1"/>
  <c r="N264" i="1"/>
  <c r="N265" i="1"/>
  <c r="N266" i="1"/>
  <c r="N267" i="1"/>
  <c r="N268" i="1"/>
  <c r="N269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J220" i="1"/>
  <c r="J221" i="1"/>
  <c r="N220" i="1"/>
  <c r="N221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J204" i="1"/>
  <c r="J205" i="1"/>
  <c r="J206" i="1"/>
  <c r="J207" i="1"/>
  <c r="N204" i="1"/>
  <c r="N205" i="1"/>
  <c r="N206" i="1"/>
  <c r="N207" i="1"/>
  <c r="H21" i="4"/>
  <c r="H22" i="4"/>
  <c r="H23" i="4"/>
  <c r="H24" i="4"/>
  <c r="H25" i="4"/>
  <c r="H26" i="4"/>
  <c r="H27" i="4"/>
  <c r="H20" i="4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J185" i="1"/>
  <c r="J186" i="1"/>
  <c r="J187" i="1"/>
  <c r="J188" i="1"/>
  <c r="J189" i="1"/>
  <c r="N185" i="1"/>
  <c r="N186" i="1"/>
  <c r="N187" i="1"/>
  <c r="N188" i="1"/>
  <c r="N189" i="1"/>
  <c r="J179" i="1"/>
  <c r="J180" i="1"/>
  <c r="J181" i="1"/>
  <c r="J182" i="1"/>
  <c r="J183" i="1"/>
  <c r="J184" i="1"/>
  <c r="N179" i="1"/>
  <c r="N180" i="1"/>
  <c r="N181" i="1"/>
  <c r="N182" i="1"/>
  <c r="N183" i="1"/>
  <c r="N184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K5" i="4"/>
  <c r="K6" i="4"/>
  <c r="K7" i="4"/>
  <c r="K8" i="4"/>
  <c r="K9" i="4"/>
  <c r="K10" i="4"/>
  <c r="K4" i="4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K382" i="1"/>
  <c r="I382" i="1"/>
  <c r="H382" i="1"/>
</calcChain>
</file>

<file path=xl/sharedStrings.xml><?xml version="1.0" encoding="utf-8"?>
<sst xmlns="http://schemas.openxmlformats.org/spreadsheetml/2006/main" count="854" uniqueCount="68">
  <si>
    <t>Date</t>
  </si>
  <si>
    <t>Player</t>
  </si>
  <si>
    <t>Game #</t>
  </si>
  <si>
    <t>Points</t>
  </si>
  <si>
    <t>Rebound</t>
  </si>
  <si>
    <t>Steal</t>
  </si>
  <si>
    <t>Block</t>
  </si>
  <si>
    <t>Willy</t>
  </si>
  <si>
    <t>3 pts</t>
  </si>
  <si>
    <t>Matt</t>
  </si>
  <si>
    <t>Asst</t>
  </si>
  <si>
    <t>Jake</t>
  </si>
  <si>
    <t>Team</t>
  </si>
  <si>
    <t>Rockets</t>
  </si>
  <si>
    <t>Mavs</t>
  </si>
  <si>
    <t>Sum of Points</t>
  </si>
  <si>
    <t>Nathan</t>
  </si>
  <si>
    <t>Marcus</t>
  </si>
  <si>
    <t>Hudson</t>
  </si>
  <si>
    <t>Joe</t>
  </si>
  <si>
    <t>John</t>
  </si>
  <si>
    <t>Sum of Asst</t>
  </si>
  <si>
    <t>Sum of 3 pts</t>
  </si>
  <si>
    <t>Sum of Rebound</t>
  </si>
  <si>
    <t>Sum of Steal</t>
  </si>
  <si>
    <t>Sum of Block</t>
  </si>
  <si>
    <t># of Games</t>
  </si>
  <si>
    <t>Pikachus</t>
  </si>
  <si>
    <t>2pt FGM</t>
  </si>
  <si>
    <t>3pt att</t>
  </si>
  <si>
    <t>2pt FGatt</t>
  </si>
  <si>
    <t>Big Dawgs</t>
  </si>
  <si>
    <t>Total</t>
  </si>
  <si>
    <t>Sum of 2pt FGatt</t>
  </si>
  <si>
    <t>Sum of 2pt FGM</t>
  </si>
  <si>
    <t>2 pt FG %</t>
  </si>
  <si>
    <t>3ptFG%</t>
  </si>
  <si>
    <t xml:space="preserve">SEASON </t>
  </si>
  <si>
    <t>Values</t>
  </si>
  <si>
    <t>Height</t>
  </si>
  <si>
    <t>Wingspan</t>
  </si>
  <si>
    <t>Age</t>
  </si>
  <si>
    <t>Position</t>
  </si>
  <si>
    <t>Jersey #</t>
  </si>
  <si>
    <t>Years Playing</t>
  </si>
  <si>
    <t>Hometown</t>
  </si>
  <si>
    <t>Nickname</t>
  </si>
  <si>
    <t>Favorite Player</t>
  </si>
  <si>
    <t>Signature Move</t>
  </si>
  <si>
    <t>Bio</t>
  </si>
  <si>
    <t>5'10"</t>
  </si>
  <si>
    <t>MJ</t>
  </si>
  <si>
    <t>C</t>
  </si>
  <si>
    <t>LaMelo Ball</t>
  </si>
  <si>
    <t>5'9"</t>
  </si>
  <si>
    <t>5'2"</t>
  </si>
  <si>
    <t>Roxton</t>
  </si>
  <si>
    <t>Tigertown</t>
  </si>
  <si>
    <t>Maxey</t>
  </si>
  <si>
    <t>Nate</t>
  </si>
  <si>
    <t>Buck</t>
  </si>
  <si>
    <t>Cooper Flagg</t>
  </si>
  <si>
    <t>Ant Man</t>
  </si>
  <si>
    <t>Steph Curry</t>
  </si>
  <si>
    <t>Quarter</t>
  </si>
  <si>
    <t>Bulls</t>
  </si>
  <si>
    <t>Hornets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</si>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</sst>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pivotButton="1"/>
    <xf numFmtId="1" fontId="0" fillId="0" borderId="0" xfId="0" applyNumberFormat="1" applyAlignment="1">
      <alignment horizontal="center" vertical="top"/>
    </xf>
    <xf numFmtId="1" fontId="0" fillId="0" borderId="0" xfId="0" applyNumberFormat="1"/>
    <xf numFmtId="0" fontId="0" fillId="0" borderId="0" xfId="0" applyNumberFormat="1"/>
    <xf numFmtId="9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NumberFormat="1" applyAlignment="1">
      <alignment horizontal="center" vertical="top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numFmt numFmtId="164" formatCode="0.0%"/>
      <alignment horizontal="center" vertical="top" textRotation="0" wrapText="0" indent="0" justifyLastLine="0" shrinkToFit="0" readingOrder="0"/>
    </dxf>
    <dxf>
      <numFmt numFmtId="164" formatCode="0.0%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numFmt numFmtId="13" formatCode="0%"/>
      <alignment horizontal="center" vertical="top" textRotation="0" wrapText="0" indent="0" justifyLastLine="0" shrinkToFit="0" readingOrder="0"/>
    </dxf>
    <dxf>
      <numFmt numFmtId="13" formatCode="0%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XLNext Device" refreshedDate="46246.514584722223" createdVersion="8" refreshedVersion="8" minRefreshableVersion="3" recordCount="380" xr:uid="{384B0C2E-D16F-744B-8E74-E880F094B4B4}">
  <cacheSource type="worksheet">
    <worksheetSource name="Table1"/>
  </cacheSource>
  <cacheFields count="18">
    <cacheField name="Date" numFmtId="0">
      <sharedItems containsNonDate="0" containsDate="1" containsString="0" containsBlank="1" minDate="2025-08-14T00:00:00" maxDate="2026-07-24T00:00:00"/>
    </cacheField>
    <cacheField name="SEASON " numFmtId="0">
      <sharedItems containsString="0" containsBlank="1" containsNumber="1" containsInteger="1" minValue="1" maxValue="3" count="4">
        <n v="1"/>
        <n v="2"/>
        <n v="3"/>
        <m/>
      </sharedItems>
    </cacheField>
    <cacheField name="Player" numFmtId="0">
      <sharedItems containsBlank="1" count="9">
        <s v="Hudson"/>
        <s v="Joe"/>
        <s v="Jake"/>
        <s v="Nathan"/>
        <s v="Willy"/>
        <s v="Matt"/>
        <s v="Marcus"/>
        <s v="John"/>
        <m/>
      </sharedItems>
    </cacheField>
    <cacheField name="Team" numFmtId="0">
      <sharedItems containsBlank="1"/>
    </cacheField>
    <cacheField name="# of Games" numFmtId="0">
      <sharedItems containsString="0" containsBlank="1" containsNumber="1" containsInteger="1" minValue="1" maxValue="1"/>
    </cacheField>
    <cacheField name="Quarter" numFmtId="0">
      <sharedItems containsString="0" containsBlank="1" containsNumber="1" containsInteger="1" minValue="1" maxValue="4"/>
    </cacheField>
    <cacheField name="Game #" numFmtId="1">
      <sharedItems containsString="0" containsBlank="1" containsNumber="1" containsInteger="1" minValue="1" maxValue="16" count="1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m/>
      </sharedItems>
    </cacheField>
    <cacheField name="2pt FGatt" numFmtId="1">
      <sharedItems containsString="0" containsBlank="1" containsNumber="1" containsInteger="1" minValue="0" maxValue="17"/>
    </cacheField>
    <cacheField name="2pt FGM" numFmtId="1">
      <sharedItems containsString="0" containsBlank="1" containsNumber="1" containsInteger="1" minValue="0" maxValue="6"/>
    </cacheField>
    <cacheField name="2 pt FG %" numFmtId="9">
      <sharedItems containsString="0" containsBlank="1" containsNumber="1" minValue="0" maxValue="1"/>
    </cacheField>
    <cacheField name="Points" numFmtId="1">
      <sharedItems containsString="0" containsBlank="1" containsNumber="1" containsInteger="1" minValue="0" maxValue="21"/>
    </cacheField>
    <cacheField name="3pt att" numFmtId="1">
      <sharedItems containsString="0" containsBlank="1" containsNumber="1" containsInteger="1" minValue="0" maxValue="14"/>
    </cacheField>
    <cacheField name="3 pts" numFmtId="1">
      <sharedItems containsString="0" containsBlank="1" containsNumber="1" containsInteger="1" minValue="0" maxValue="9"/>
    </cacheField>
    <cacheField name="3ptFG%" numFmtId="164">
      <sharedItems containsString="0" containsBlank="1" containsNumber="1" minValue="0" maxValue="4.5"/>
    </cacheField>
    <cacheField name="Rebound" numFmtId="1">
      <sharedItems containsString="0" containsBlank="1" containsNumber="1" containsInteger="1" minValue="0" maxValue="19"/>
    </cacheField>
    <cacheField name="Steal" numFmtId="1">
      <sharedItems containsString="0" containsBlank="1" containsNumber="1" containsInteger="1" minValue="0" maxValue="10"/>
    </cacheField>
    <cacheField name="Asst" numFmtId="1">
      <sharedItems containsString="0" containsBlank="1" containsNumber="1" containsInteger="1" minValue="0" maxValue="6"/>
    </cacheField>
    <cacheField name="Block" numFmtId="1">
      <sharedItems containsString="0" containsBlank="1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">
  <r>
    <d v="2025-08-14T00:00:00"/>
    <x v="0"/>
    <x v="0"/>
    <s v="Mavs"/>
    <n v="1"/>
    <m/>
    <x v="0"/>
    <m/>
    <m/>
    <m/>
    <n v="9"/>
    <m/>
    <n v="3"/>
    <m/>
    <n v="2"/>
    <n v="3"/>
    <n v="1"/>
    <n v="1"/>
  </r>
  <r>
    <d v="2025-08-14T00:00:00"/>
    <x v="0"/>
    <x v="1"/>
    <s v="Mavs"/>
    <n v="1"/>
    <m/>
    <x v="0"/>
    <m/>
    <m/>
    <m/>
    <n v="3"/>
    <m/>
    <n v="1"/>
    <m/>
    <n v="5"/>
    <n v="3"/>
    <n v="6"/>
    <n v="0"/>
  </r>
  <r>
    <d v="2025-08-14T00:00:00"/>
    <x v="0"/>
    <x v="2"/>
    <s v="Mavs"/>
    <n v="1"/>
    <m/>
    <x v="0"/>
    <m/>
    <m/>
    <m/>
    <n v="8"/>
    <m/>
    <n v="0"/>
    <m/>
    <n v="2"/>
    <n v="3"/>
    <n v="1"/>
    <n v="0"/>
  </r>
  <r>
    <d v="2025-08-14T00:00:00"/>
    <x v="0"/>
    <x v="3"/>
    <s v="Mavs"/>
    <n v="1"/>
    <m/>
    <x v="0"/>
    <m/>
    <m/>
    <m/>
    <n v="10"/>
    <m/>
    <n v="0"/>
    <m/>
    <n v="5"/>
    <n v="2"/>
    <n v="2"/>
    <n v="0"/>
  </r>
  <r>
    <d v="2025-08-14T00:00:00"/>
    <x v="0"/>
    <x v="4"/>
    <s v="Rockets"/>
    <n v="1"/>
    <m/>
    <x v="0"/>
    <m/>
    <m/>
    <m/>
    <n v="0"/>
    <m/>
    <n v="0"/>
    <m/>
    <n v="5"/>
    <n v="10"/>
    <n v="5"/>
    <n v="1"/>
  </r>
  <r>
    <d v="2025-08-14T00:00:00"/>
    <x v="0"/>
    <x v="5"/>
    <s v="Rockets"/>
    <n v="1"/>
    <m/>
    <x v="0"/>
    <m/>
    <m/>
    <m/>
    <n v="16"/>
    <m/>
    <n v="4"/>
    <m/>
    <n v="3"/>
    <n v="2"/>
    <n v="1"/>
    <n v="1"/>
  </r>
  <r>
    <d v="2025-08-14T00:00:00"/>
    <x v="0"/>
    <x v="6"/>
    <s v="Rockets"/>
    <n v="1"/>
    <m/>
    <x v="0"/>
    <m/>
    <m/>
    <m/>
    <n v="2"/>
    <m/>
    <n v="0"/>
    <m/>
    <n v="5"/>
    <n v="1"/>
    <n v="0"/>
    <n v="2"/>
  </r>
  <r>
    <d v="2025-08-14T00:00:00"/>
    <x v="0"/>
    <x v="7"/>
    <s v="Rockets"/>
    <n v="1"/>
    <m/>
    <x v="0"/>
    <m/>
    <m/>
    <m/>
    <n v="8"/>
    <m/>
    <n v="0"/>
    <m/>
    <n v="6"/>
    <n v="4"/>
    <n v="2"/>
    <n v="0"/>
  </r>
  <r>
    <d v="2025-08-14T00:00:00"/>
    <x v="0"/>
    <x v="0"/>
    <s v="Mavs"/>
    <n v="1"/>
    <m/>
    <x v="1"/>
    <m/>
    <m/>
    <m/>
    <n v="9"/>
    <m/>
    <n v="3"/>
    <m/>
    <n v="1"/>
    <n v="4"/>
    <n v="2"/>
    <n v="0"/>
  </r>
  <r>
    <d v="2025-08-14T00:00:00"/>
    <x v="0"/>
    <x v="4"/>
    <s v="Rockets"/>
    <n v="1"/>
    <m/>
    <x v="1"/>
    <m/>
    <m/>
    <m/>
    <n v="13"/>
    <m/>
    <n v="3"/>
    <m/>
    <n v="7"/>
    <n v="7"/>
    <n v="4"/>
    <n v="0"/>
  </r>
  <r>
    <d v="2025-08-14T00:00:00"/>
    <x v="0"/>
    <x v="6"/>
    <s v="Rockets"/>
    <n v="1"/>
    <m/>
    <x v="1"/>
    <m/>
    <m/>
    <m/>
    <n v="5"/>
    <m/>
    <n v="1"/>
    <m/>
    <n v="4"/>
    <n v="4"/>
    <n v="2"/>
    <n v="0"/>
  </r>
  <r>
    <d v="2025-08-14T00:00:00"/>
    <x v="0"/>
    <x v="1"/>
    <s v="Mavs"/>
    <n v="1"/>
    <m/>
    <x v="1"/>
    <m/>
    <m/>
    <m/>
    <n v="7"/>
    <m/>
    <n v="1"/>
    <m/>
    <n v="5"/>
    <n v="1"/>
    <n v="2"/>
    <n v="0"/>
  </r>
  <r>
    <d v="2025-08-14T00:00:00"/>
    <x v="0"/>
    <x v="3"/>
    <s v="Mavs"/>
    <n v="1"/>
    <m/>
    <x v="1"/>
    <m/>
    <m/>
    <m/>
    <n v="9"/>
    <m/>
    <n v="1"/>
    <m/>
    <n v="0"/>
    <n v="2"/>
    <n v="2"/>
    <n v="0"/>
  </r>
  <r>
    <d v="2025-08-14T00:00:00"/>
    <x v="0"/>
    <x v="5"/>
    <s v="Rockets"/>
    <n v="1"/>
    <m/>
    <x v="1"/>
    <m/>
    <m/>
    <m/>
    <n v="11"/>
    <m/>
    <n v="1"/>
    <m/>
    <n v="4"/>
    <n v="4"/>
    <n v="6"/>
    <n v="1"/>
  </r>
  <r>
    <d v="2025-08-14T00:00:00"/>
    <x v="0"/>
    <x v="2"/>
    <s v="Mavs"/>
    <n v="1"/>
    <m/>
    <x v="1"/>
    <m/>
    <m/>
    <m/>
    <n v="4"/>
    <m/>
    <n v="0"/>
    <m/>
    <n v="5"/>
    <n v="4"/>
    <n v="1"/>
    <n v="1"/>
  </r>
  <r>
    <d v="2025-08-14T00:00:00"/>
    <x v="0"/>
    <x v="7"/>
    <s v="Rockets"/>
    <n v="1"/>
    <m/>
    <x v="1"/>
    <m/>
    <m/>
    <m/>
    <n v="14"/>
    <m/>
    <n v="0"/>
    <m/>
    <n v="4"/>
    <n v="3"/>
    <n v="1"/>
    <n v="0"/>
  </r>
  <r>
    <d v="2025-08-14T00:00:00"/>
    <x v="0"/>
    <x v="2"/>
    <s v="Mavs"/>
    <n v="1"/>
    <m/>
    <x v="2"/>
    <m/>
    <m/>
    <m/>
    <n v="0"/>
    <m/>
    <n v="0"/>
    <m/>
    <n v="4"/>
    <n v="1"/>
    <n v="1"/>
    <n v="0"/>
  </r>
  <r>
    <d v="2025-08-14T00:00:00"/>
    <x v="0"/>
    <x v="6"/>
    <s v="Rockets"/>
    <n v="1"/>
    <m/>
    <x v="2"/>
    <m/>
    <m/>
    <m/>
    <n v="0"/>
    <m/>
    <n v="0"/>
    <m/>
    <n v="1"/>
    <n v="2"/>
    <n v="0"/>
    <n v="1"/>
  </r>
  <r>
    <d v="2025-08-14T00:00:00"/>
    <x v="0"/>
    <x v="1"/>
    <s v="Mavs"/>
    <n v="1"/>
    <m/>
    <x v="2"/>
    <m/>
    <m/>
    <m/>
    <n v="0"/>
    <m/>
    <n v="0"/>
    <m/>
    <n v="0"/>
    <n v="1"/>
    <n v="0"/>
    <n v="0"/>
  </r>
  <r>
    <d v="2025-08-14T00:00:00"/>
    <x v="0"/>
    <x v="7"/>
    <s v="Rockets"/>
    <n v="1"/>
    <m/>
    <x v="2"/>
    <m/>
    <m/>
    <m/>
    <n v="0"/>
    <m/>
    <n v="0"/>
    <m/>
    <n v="3"/>
    <n v="0"/>
    <n v="1"/>
    <n v="0"/>
  </r>
  <r>
    <d v="2025-08-14T00:00:00"/>
    <x v="0"/>
    <x v="5"/>
    <s v="Rockets"/>
    <n v="1"/>
    <m/>
    <x v="2"/>
    <m/>
    <m/>
    <m/>
    <n v="8"/>
    <m/>
    <n v="2"/>
    <m/>
    <n v="2"/>
    <n v="0"/>
    <n v="0"/>
    <n v="2"/>
  </r>
  <r>
    <d v="2025-08-14T00:00:00"/>
    <x v="0"/>
    <x v="3"/>
    <s v="Mavs"/>
    <n v="1"/>
    <m/>
    <x v="2"/>
    <m/>
    <m/>
    <m/>
    <n v="12"/>
    <m/>
    <n v="2"/>
    <m/>
    <n v="3"/>
    <n v="2"/>
    <n v="1"/>
    <n v="0"/>
  </r>
  <r>
    <d v="2025-08-14T00:00:00"/>
    <x v="0"/>
    <x v="0"/>
    <s v="Mavs"/>
    <n v="1"/>
    <m/>
    <x v="2"/>
    <m/>
    <m/>
    <m/>
    <n v="12"/>
    <m/>
    <n v="2"/>
    <m/>
    <n v="3"/>
    <n v="3"/>
    <n v="2"/>
    <n v="0"/>
  </r>
  <r>
    <d v="2025-08-14T00:00:00"/>
    <x v="0"/>
    <x v="4"/>
    <s v="Rockets"/>
    <n v="1"/>
    <m/>
    <x v="2"/>
    <m/>
    <m/>
    <m/>
    <n v="4"/>
    <m/>
    <n v="0"/>
    <m/>
    <n v="7"/>
    <n v="2"/>
    <n v="3"/>
    <n v="0"/>
  </r>
  <r>
    <d v="2025-09-18T00:00:00"/>
    <x v="0"/>
    <x v="4"/>
    <s v="Rockets"/>
    <m/>
    <m/>
    <x v="3"/>
    <m/>
    <m/>
    <m/>
    <n v="6"/>
    <m/>
    <n v="0"/>
    <m/>
    <n v="8"/>
    <n v="3"/>
    <n v="2"/>
    <n v="1"/>
  </r>
  <r>
    <d v="2025-09-18T00:00:00"/>
    <x v="0"/>
    <x v="7"/>
    <s v="Rockets"/>
    <m/>
    <m/>
    <x v="3"/>
    <m/>
    <m/>
    <m/>
    <n v="4"/>
    <m/>
    <n v="0"/>
    <m/>
    <n v="5"/>
    <n v="2"/>
    <n v="1"/>
    <n v="1"/>
  </r>
  <r>
    <d v="2025-09-18T00:00:00"/>
    <x v="0"/>
    <x v="5"/>
    <s v="Rockets"/>
    <m/>
    <m/>
    <x v="3"/>
    <m/>
    <m/>
    <m/>
    <n v="8"/>
    <m/>
    <n v="0"/>
    <m/>
    <n v="3"/>
    <n v="2"/>
    <n v="0"/>
    <n v="1"/>
  </r>
  <r>
    <d v="2025-09-18T00:00:00"/>
    <x v="0"/>
    <x v="6"/>
    <s v="Rockets"/>
    <m/>
    <m/>
    <x v="3"/>
    <m/>
    <m/>
    <m/>
    <n v="6"/>
    <m/>
    <n v="2"/>
    <m/>
    <n v="7"/>
    <n v="5"/>
    <n v="2"/>
    <n v="0"/>
  </r>
  <r>
    <d v="2025-09-18T00:00:00"/>
    <x v="0"/>
    <x v="2"/>
    <s v="Mavs"/>
    <m/>
    <m/>
    <x v="3"/>
    <m/>
    <m/>
    <m/>
    <n v="2"/>
    <m/>
    <n v="0"/>
    <m/>
    <n v="5"/>
    <n v="1"/>
    <n v="0"/>
    <n v="1"/>
  </r>
  <r>
    <d v="2025-09-18T00:00:00"/>
    <x v="0"/>
    <x v="1"/>
    <s v="Mavs"/>
    <m/>
    <m/>
    <x v="3"/>
    <m/>
    <m/>
    <m/>
    <n v="6"/>
    <m/>
    <n v="2"/>
    <m/>
    <n v="7"/>
    <n v="2"/>
    <n v="2"/>
    <n v="0"/>
  </r>
  <r>
    <d v="2025-09-18T00:00:00"/>
    <x v="0"/>
    <x v="3"/>
    <s v="Mavs"/>
    <m/>
    <m/>
    <x v="3"/>
    <m/>
    <m/>
    <m/>
    <n v="5"/>
    <m/>
    <n v="1"/>
    <m/>
    <n v="4"/>
    <n v="0"/>
    <n v="0"/>
    <n v="0"/>
  </r>
  <r>
    <d v="2025-09-18T00:00:00"/>
    <x v="0"/>
    <x v="0"/>
    <s v="Mavs"/>
    <m/>
    <m/>
    <x v="3"/>
    <m/>
    <m/>
    <m/>
    <n v="3"/>
    <m/>
    <n v="1"/>
    <m/>
    <n v="0"/>
    <n v="0"/>
    <n v="1"/>
    <n v="0"/>
  </r>
  <r>
    <d v="2025-09-25T00:00:00"/>
    <x v="0"/>
    <x v="4"/>
    <s v="Rockets"/>
    <m/>
    <m/>
    <x v="4"/>
    <m/>
    <m/>
    <m/>
    <n v="6"/>
    <m/>
    <n v="0"/>
    <m/>
    <n v="8"/>
    <n v="5"/>
    <n v="5"/>
    <n v="0"/>
  </r>
  <r>
    <d v="2025-09-25T00:00:00"/>
    <x v="0"/>
    <x v="7"/>
    <s v="Rockets"/>
    <m/>
    <m/>
    <x v="4"/>
    <m/>
    <m/>
    <m/>
    <n v="11"/>
    <m/>
    <n v="1"/>
    <m/>
    <n v="5"/>
    <n v="4"/>
    <n v="3"/>
    <n v="0"/>
  </r>
  <r>
    <d v="2025-09-25T00:00:00"/>
    <x v="0"/>
    <x v="5"/>
    <s v="Rockets"/>
    <m/>
    <m/>
    <x v="4"/>
    <m/>
    <m/>
    <m/>
    <n v="19"/>
    <m/>
    <n v="5"/>
    <m/>
    <n v="14"/>
    <n v="0"/>
    <n v="1"/>
    <n v="1"/>
  </r>
  <r>
    <d v="2025-09-25T00:00:00"/>
    <x v="0"/>
    <x v="6"/>
    <s v="Rockets"/>
    <m/>
    <m/>
    <x v="4"/>
    <m/>
    <m/>
    <m/>
    <n v="3"/>
    <m/>
    <n v="1"/>
    <m/>
    <n v="2"/>
    <n v="1"/>
    <n v="2"/>
    <n v="0"/>
  </r>
  <r>
    <d v="2025-09-25T00:00:00"/>
    <x v="0"/>
    <x v="2"/>
    <s v="Mavs"/>
    <m/>
    <m/>
    <x v="4"/>
    <m/>
    <m/>
    <m/>
    <n v="7"/>
    <m/>
    <n v="1"/>
    <m/>
    <n v="6"/>
    <n v="2"/>
    <n v="1"/>
    <n v="2"/>
  </r>
  <r>
    <d v="2025-09-25T00:00:00"/>
    <x v="0"/>
    <x v="1"/>
    <s v="Mavs"/>
    <m/>
    <m/>
    <x v="4"/>
    <m/>
    <m/>
    <m/>
    <n v="0"/>
    <m/>
    <n v="0"/>
    <m/>
    <n v="4"/>
    <n v="2"/>
    <n v="2"/>
    <n v="0"/>
  </r>
  <r>
    <d v="2025-09-25T00:00:00"/>
    <x v="0"/>
    <x v="3"/>
    <s v="Mavs"/>
    <m/>
    <m/>
    <x v="4"/>
    <m/>
    <m/>
    <m/>
    <n v="4"/>
    <m/>
    <n v="0"/>
    <m/>
    <n v="6"/>
    <n v="1"/>
    <n v="2"/>
    <n v="0"/>
  </r>
  <r>
    <d v="2025-09-25T00:00:00"/>
    <x v="0"/>
    <x v="0"/>
    <s v="Mavs"/>
    <m/>
    <m/>
    <x v="4"/>
    <m/>
    <m/>
    <m/>
    <n v="4"/>
    <m/>
    <n v="0"/>
    <m/>
    <n v="4"/>
    <n v="6"/>
    <n v="0"/>
    <n v="0"/>
  </r>
  <r>
    <d v="2025-09-25T00:00:00"/>
    <x v="0"/>
    <x v="4"/>
    <s v="Rockets"/>
    <m/>
    <m/>
    <x v="5"/>
    <m/>
    <m/>
    <m/>
    <n v="12"/>
    <m/>
    <n v="0"/>
    <m/>
    <n v="5"/>
    <n v="3"/>
    <n v="6"/>
    <n v="0"/>
  </r>
  <r>
    <d v="2025-09-25T00:00:00"/>
    <x v="0"/>
    <x v="7"/>
    <s v="Rockets"/>
    <m/>
    <m/>
    <x v="5"/>
    <m/>
    <m/>
    <m/>
    <n v="4"/>
    <m/>
    <n v="0"/>
    <m/>
    <n v="2"/>
    <n v="5"/>
    <n v="3"/>
    <n v="0"/>
  </r>
  <r>
    <d v="2025-09-25T00:00:00"/>
    <x v="0"/>
    <x v="5"/>
    <s v="Rockets"/>
    <m/>
    <m/>
    <x v="5"/>
    <m/>
    <m/>
    <m/>
    <n v="18"/>
    <m/>
    <n v="4"/>
    <m/>
    <n v="10"/>
    <n v="0"/>
    <n v="1"/>
    <n v="1"/>
  </r>
  <r>
    <d v="2025-09-25T00:00:00"/>
    <x v="0"/>
    <x v="6"/>
    <s v="Rockets"/>
    <m/>
    <m/>
    <x v="5"/>
    <m/>
    <m/>
    <m/>
    <n v="6"/>
    <m/>
    <n v="2"/>
    <m/>
    <n v="1"/>
    <n v="1"/>
    <n v="1"/>
    <n v="0"/>
  </r>
  <r>
    <d v="2025-09-25T00:00:00"/>
    <x v="0"/>
    <x v="2"/>
    <s v="Mavs"/>
    <m/>
    <m/>
    <x v="5"/>
    <m/>
    <m/>
    <m/>
    <n v="9"/>
    <m/>
    <n v="1"/>
    <m/>
    <n v="7"/>
    <n v="1"/>
    <n v="3"/>
    <n v="0"/>
  </r>
  <r>
    <d v="2025-09-25T00:00:00"/>
    <x v="0"/>
    <x v="1"/>
    <s v="Mavs"/>
    <m/>
    <m/>
    <x v="5"/>
    <m/>
    <m/>
    <m/>
    <n v="2"/>
    <m/>
    <n v="0"/>
    <m/>
    <n v="3"/>
    <n v="0"/>
    <n v="1"/>
    <n v="2"/>
  </r>
  <r>
    <d v="2025-09-25T00:00:00"/>
    <x v="0"/>
    <x v="3"/>
    <s v="Mavs"/>
    <m/>
    <m/>
    <x v="5"/>
    <m/>
    <m/>
    <m/>
    <n v="6"/>
    <m/>
    <n v="0"/>
    <m/>
    <n v="5"/>
    <n v="3"/>
    <n v="2"/>
    <n v="0"/>
  </r>
  <r>
    <d v="2025-09-25T00:00:00"/>
    <x v="0"/>
    <x v="0"/>
    <s v="Mavs"/>
    <m/>
    <m/>
    <x v="5"/>
    <m/>
    <m/>
    <m/>
    <n v="8"/>
    <m/>
    <n v="2"/>
    <m/>
    <n v="0"/>
    <n v="1"/>
    <n v="3"/>
    <n v="3"/>
  </r>
  <r>
    <d v="2025-09-25T00:00:00"/>
    <x v="0"/>
    <x v="4"/>
    <s v="Rockets"/>
    <m/>
    <m/>
    <x v="6"/>
    <m/>
    <m/>
    <m/>
    <n v="7"/>
    <m/>
    <n v="1"/>
    <m/>
    <n v="1"/>
    <n v="1"/>
    <n v="3"/>
    <n v="0"/>
  </r>
  <r>
    <d v="2025-09-25T00:00:00"/>
    <x v="0"/>
    <x v="7"/>
    <s v="Rockets"/>
    <m/>
    <m/>
    <x v="6"/>
    <m/>
    <m/>
    <m/>
    <n v="7"/>
    <m/>
    <n v="1"/>
    <m/>
    <n v="1"/>
    <n v="0"/>
    <n v="2"/>
    <n v="0"/>
  </r>
  <r>
    <d v="2025-09-25T00:00:00"/>
    <x v="0"/>
    <x v="5"/>
    <s v="Rockets"/>
    <m/>
    <m/>
    <x v="6"/>
    <m/>
    <m/>
    <m/>
    <n v="15"/>
    <m/>
    <n v="1"/>
    <m/>
    <n v="7"/>
    <n v="1"/>
    <n v="3"/>
    <n v="0"/>
  </r>
  <r>
    <d v="2025-09-25T00:00:00"/>
    <x v="0"/>
    <x v="6"/>
    <s v="Rockets"/>
    <m/>
    <m/>
    <x v="6"/>
    <m/>
    <m/>
    <m/>
    <n v="2"/>
    <m/>
    <n v="0"/>
    <m/>
    <n v="0"/>
    <n v="2"/>
    <n v="1"/>
    <n v="0"/>
  </r>
  <r>
    <d v="2025-09-25T00:00:00"/>
    <x v="0"/>
    <x v="2"/>
    <s v="Mavs"/>
    <m/>
    <m/>
    <x v="6"/>
    <m/>
    <m/>
    <m/>
    <n v="6"/>
    <m/>
    <n v="0"/>
    <m/>
    <n v="8"/>
    <n v="2"/>
    <n v="1"/>
    <n v="0"/>
  </r>
  <r>
    <d v="2025-09-25T00:00:00"/>
    <x v="0"/>
    <x v="1"/>
    <s v="Mavs"/>
    <m/>
    <m/>
    <x v="6"/>
    <m/>
    <m/>
    <m/>
    <n v="7"/>
    <m/>
    <n v="1"/>
    <m/>
    <n v="3"/>
    <n v="1"/>
    <n v="2"/>
    <n v="0"/>
  </r>
  <r>
    <d v="2025-09-25T00:00:00"/>
    <x v="0"/>
    <x v="3"/>
    <s v="Mavs"/>
    <m/>
    <m/>
    <x v="6"/>
    <m/>
    <m/>
    <m/>
    <n v="9"/>
    <m/>
    <n v="1"/>
    <m/>
    <n v="2"/>
    <n v="0"/>
    <n v="2"/>
    <n v="0"/>
  </r>
  <r>
    <d v="2025-09-25T00:00:00"/>
    <x v="0"/>
    <x v="0"/>
    <s v="Mavs"/>
    <m/>
    <m/>
    <x v="6"/>
    <m/>
    <m/>
    <m/>
    <n v="3"/>
    <m/>
    <n v="1"/>
    <m/>
    <n v="0"/>
    <n v="0"/>
    <n v="3"/>
    <n v="0"/>
  </r>
  <r>
    <d v="2025-10-02T00:00:00"/>
    <x v="0"/>
    <x v="4"/>
    <s v="Rockets"/>
    <m/>
    <m/>
    <x v="7"/>
    <m/>
    <m/>
    <m/>
    <n v="6"/>
    <m/>
    <n v="0"/>
    <m/>
    <n v="11"/>
    <n v="5"/>
    <n v="3"/>
    <n v="1"/>
  </r>
  <r>
    <d v="2025-10-02T00:00:00"/>
    <x v="0"/>
    <x v="7"/>
    <s v="Rockets"/>
    <m/>
    <m/>
    <x v="7"/>
    <m/>
    <m/>
    <m/>
    <n v="4"/>
    <m/>
    <n v="0"/>
    <m/>
    <n v="3"/>
    <n v="2"/>
    <n v="1"/>
    <n v="1"/>
  </r>
  <r>
    <d v="2025-10-02T00:00:00"/>
    <x v="0"/>
    <x v="5"/>
    <s v="Rockets"/>
    <m/>
    <m/>
    <x v="7"/>
    <m/>
    <m/>
    <m/>
    <n v="21"/>
    <m/>
    <n v="3"/>
    <m/>
    <n v="8"/>
    <n v="2"/>
    <n v="2"/>
    <n v="0"/>
  </r>
  <r>
    <d v="2025-10-02T00:00:00"/>
    <x v="0"/>
    <x v="6"/>
    <s v="Rockets"/>
    <m/>
    <m/>
    <x v="7"/>
    <m/>
    <m/>
    <m/>
    <n v="5"/>
    <m/>
    <n v="1"/>
    <m/>
    <n v="2"/>
    <n v="2"/>
    <n v="2"/>
    <n v="0"/>
  </r>
  <r>
    <d v="2025-10-02T00:00:00"/>
    <x v="0"/>
    <x v="2"/>
    <s v="Mavs"/>
    <m/>
    <m/>
    <x v="7"/>
    <m/>
    <m/>
    <m/>
    <n v="2"/>
    <m/>
    <n v="0"/>
    <m/>
    <n v="7"/>
    <n v="3"/>
    <n v="1"/>
    <n v="0"/>
  </r>
  <r>
    <d v="2025-10-02T00:00:00"/>
    <x v="0"/>
    <x v="1"/>
    <s v="Mavs"/>
    <m/>
    <m/>
    <x v="7"/>
    <m/>
    <m/>
    <m/>
    <n v="7"/>
    <m/>
    <n v="1"/>
    <m/>
    <n v="7"/>
    <n v="3"/>
    <n v="3"/>
    <n v="0"/>
  </r>
  <r>
    <d v="2025-10-02T00:00:00"/>
    <x v="0"/>
    <x v="3"/>
    <s v="Mavs"/>
    <m/>
    <m/>
    <x v="7"/>
    <m/>
    <m/>
    <m/>
    <n v="7"/>
    <m/>
    <n v="1"/>
    <m/>
    <n v="9"/>
    <n v="1"/>
    <n v="4"/>
    <n v="0"/>
  </r>
  <r>
    <d v="2025-10-02T00:00:00"/>
    <x v="0"/>
    <x v="0"/>
    <s v="Mavs"/>
    <m/>
    <m/>
    <x v="7"/>
    <m/>
    <m/>
    <m/>
    <n v="7"/>
    <m/>
    <n v="1"/>
    <m/>
    <n v="0"/>
    <n v="2"/>
    <n v="0"/>
    <n v="0"/>
  </r>
  <r>
    <d v="2025-10-02T00:00:00"/>
    <x v="0"/>
    <x v="4"/>
    <s v="Rockets"/>
    <m/>
    <m/>
    <x v="8"/>
    <m/>
    <m/>
    <m/>
    <n v="4"/>
    <m/>
    <n v="0"/>
    <m/>
    <n v="4"/>
    <n v="4"/>
    <n v="2"/>
    <n v="1"/>
  </r>
  <r>
    <d v="2025-10-02T00:00:00"/>
    <x v="0"/>
    <x v="7"/>
    <s v="Rockets"/>
    <m/>
    <m/>
    <x v="8"/>
    <m/>
    <m/>
    <m/>
    <n v="11"/>
    <m/>
    <n v="1"/>
    <m/>
    <n v="8"/>
    <n v="1"/>
    <n v="2"/>
    <n v="0"/>
  </r>
  <r>
    <d v="2025-10-02T00:00:00"/>
    <x v="0"/>
    <x v="5"/>
    <s v="Rockets"/>
    <m/>
    <m/>
    <x v="8"/>
    <m/>
    <m/>
    <m/>
    <n v="12"/>
    <m/>
    <n v="2"/>
    <m/>
    <n v="12"/>
    <n v="4"/>
    <n v="4"/>
    <n v="3"/>
  </r>
  <r>
    <d v="2025-10-02T00:00:00"/>
    <x v="0"/>
    <x v="6"/>
    <s v="Rockets"/>
    <m/>
    <m/>
    <x v="8"/>
    <m/>
    <m/>
    <m/>
    <n v="2"/>
    <m/>
    <n v="0"/>
    <m/>
    <n v="1"/>
    <n v="6"/>
    <n v="0"/>
    <n v="0"/>
  </r>
  <r>
    <d v="2025-10-02T00:00:00"/>
    <x v="0"/>
    <x v="2"/>
    <s v="Mavs"/>
    <m/>
    <m/>
    <x v="8"/>
    <m/>
    <m/>
    <m/>
    <n v="2"/>
    <m/>
    <n v="0"/>
    <m/>
    <n v="10"/>
    <n v="3"/>
    <n v="2"/>
    <n v="0"/>
  </r>
  <r>
    <d v="2025-10-02T00:00:00"/>
    <x v="0"/>
    <x v="1"/>
    <s v="Mavs"/>
    <m/>
    <m/>
    <x v="8"/>
    <m/>
    <m/>
    <m/>
    <n v="14"/>
    <m/>
    <n v="4"/>
    <m/>
    <n v="9"/>
    <n v="1"/>
    <n v="2"/>
    <n v="0"/>
  </r>
  <r>
    <d v="2025-10-02T00:00:00"/>
    <x v="0"/>
    <x v="3"/>
    <s v="Mavs"/>
    <m/>
    <m/>
    <x v="8"/>
    <m/>
    <m/>
    <m/>
    <n v="7"/>
    <m/>
    <n v="1"/>
    <m/>
    <n v="6"/>
    <n v="0"/>
    <n v="2"/>
    <n v="0"/>
  </r>
  <r>
    <d v="2025-10-02T00:00:00"/>
    <x v="0"/>
    <x v="0"/>
    <s v="Mavs"/>
    <m/>
    <m/>
    <x v="8"/>
    <m/>
    <m/>
    <m/>
    <n v="12"/>
    <m/>
    <n v="4"/>
    <m/>
    <n v="1"/>
    <n v="0"/>
    <n v="2"/>
    <n v="1"/>
  </r>
  <r>
    <d v="2025-10-02T00:00:00"/>
    <x v="0"/>
    <x v="4"/>
    <s v="Rockets"/>
    <m/>
    <m/>
    <x v="9"/>
    <m/>
    <m/>
    <m/>
    <n v="7"/>
    <m/>
    <n v="1"/>
    <m/>
    <n v="4"/>
    <n v="0"/>
    <n v="2"/>
    <n v="0"/>
  </r>
  <r>
    <d v="2025-10-02T00:00:00"/>
    <x v="0"/>
    <x v="7"/>
    <s v="Rockets"/>
    <m/>
    <m/>
    <x v="9"/>
    <m/>
    <m/>
    <m/>
    <n v="2"/>
    <m/>
    <n v="0"/>
    <m/>
    <n v="4"/>
    <n v="0"/>
    <n v="1"/>
    <n v="0"/>
  </r>
  <r>
    <d v="2025-10-02T00:00:00"/>
    <x v="0"/>
    <x v="5"/>
    <s v="Rockets"/>
    <m/>
    <m/>
    <x v="9"/>
    <m/>
    <m/>
    <m/>
    <n v="12"/>
    <m/>
    <n v="0"/>
    <m/>
    <n v="6"/>
    <n v="2"/>
    <n v="2"/>
    <n v="1"/>
  </r>
  <r>
    <d v="2025-10-02T00:00:00"/>
    <x v="0"/>
    <x v="6"/>
    <s v="Rockets"/>
    <m/>
    <m/>
    <x v="9"/>
    <m/>
    <m/>
    <m/>
    <n v="2"/>
    <m/>
    <n v="0"/>
    <m/>
    <n v="0"/>
    <n v="0"/>
    <n v="1"/>
    <n v="0"/>
  </r>
  <r>
    <d v="2025-10-02T00:00:00"/>
    <x v="0"/>
    <x v="2"/>
    <s v="Mavs"/>
    <m/>
    <m/>
    <x v="9"/>
    <m/>
    <m/>
    <m/>
    <n v="4"/>
    <m/>
    <n v="0"/>
    <m/>
    <n v="5"/>
    <n v="0"/>
    <n v="0"/>
    <n v="0"/>
  </r>
  <r>
    <d v="2025-10-02T00:00:00"/>
    <x v="0"/>
    <x v="1"/>
    <s v="Mavs"/>
    <m/>
    <m/>
    <x v="9"/>
    <m/>
    <m/>
    <m/>
    <n v="5"/>
    <m/>
    <n v="1"/>
    <m/>
    <n v="2"/>
    <n v="2"/>
    <n v="3"/>
    <n v="0"/>
  </r>
  <r>
    <d v="2025-10-02T00:00:00"/>
    <x v="0"/>
    <x v="3"/>
    <s v="Mavs"/>
    <m/>
    <m/>
    <x v="9"/>
    <m/>
    <m/>
    <m/>
    <n v="6"/>
    <m/>
    <n v="0"/>
    <m/>
    <n v="2"/>
    <n v="1"/>
    <n v="1"/>
    <n v="0"/>
  </r>
  <r>
    <d v="2025-10-02T00:00:00"/>
    <x v="0"/>
    <x v="0"/>
    <s v="Mavs"/>
    <m/>
    <m/>
    <x v="9"/>
    <m/>
    <m/>
    <m/>
    <n v="6"/>
    <m/>
    <n v="2"/>
    <m/>
    <n v="0"/>
    <n v="0"/>
    <n v="1"/>
    <n v="0"/>
  </r>
  <r>
    <d v="2025-10-09T00:00:00"/>
    <x v="0"/>
    <x v="4"/>
    <s v="Rockets"/>
    <m/>
    <m/>
    <x v="10"/>
    <m/>
    <m/>
    <m/>
    <n v="10"/>
    <m/>
    <n v="0"/>
    <m/>
    <n v="17"/>
    <m/>
    <n v="2"/>
    <m/>
  </r>
  <r>
    <d v="2025-10-09T00:00:00"/>
    <x v="0"/>
    <x v="7"/>
    <s v="Rockets"/>
    <m/>
    <m/>
    <x v="10"/>
    <m/>
    <m/>
    <m/>
    <n v="3"/>
    <m/>
    <n v="1"/>
    <m/>
    <n v="7"/>
    <m/>
    <n v="1"/>
    <m/>
  </r>
  <r>
    <d v="2025-10-09T00:00:00"/>
    <x v="0"/>
    <x v="5"/>
    <s v="Rockets"/>
    <m/>
    <m/>
    <x v="10"/>
    <m/>
    <m/>
    <m/>
    <n v="9"/>
    <m/>
    <n v="1"/>
    <m/>
    <n v="11"/>
    <m/>
    <n v="3"/>
    <m/>
  </r>
  <r>
    <d v="2025-10-09T00:00:00"/>
    <x v="0"/>
    <x v="6"/>
    <s v="Rockets"/>
    <m/>
    <m/>
    <x v="10"/>
    <m/>
    <m/>
    <m/>
    <n v="3"/>
    <m/>
    <n v="1"/>
    <m/>
    <n v="2"/>
    <m/>
    <n v="0"/>
    <m/>
  </r>
  <r>
    <d v="2025-10-09T00:00:00"/>
    <x v="0"/>
    <x v="2"/>
    <s v="Mavs"/>
    <m/>
    <m/>
    <x v="10"/>
    <m/>
    <m/>
    <m/>
    <n v="2"/>
    <m/>
    <n v="0"/>
    <m/>
    <n v="5"/>
    <m/>
    <n v="0"/>
    <m/>
  </r>
  <r>
    <d v="2025-10-09T00:00:00"/>
    <x v="0"/>
    <x v="1"/>
    <s v="Mavs"/>
    <m/>
    <m/>
    <x v="10"/>
    <m/>
    <m/>
    <m/>
    <n v="10"/>
    <m/>
    <n v="2"/>
    <m/>
    <n v="16"/>
    <m/>
    <n v="3"/>
    <m/>
  </r>
  <r>
    <d v="2025-10-09T00:00:00"/>
    <x v="0"/>
    <x v="3"/>
    <s v="Mavs"/>
    <m/>
    <m/>
    <x v="10"/>
    <m/>
    <m/>
    <m/>
    <n v="5"/>
    <m/>
    <n v="1"/>
    <m/>
    <n v="8"/>
    <m/>
    <n v="0"/>
    <m/>
  </r>
  <r>
    <d v="2025-10-09T00:00:00"/>
    <x v="0"/>
    <x v="0"/>
    <s v="Mavs"/>
    <m/>
    <m/>
    <x v="10"/>
    <m/>
    <m/>
    <m/>
    <n v="3"/>
    <m/>
    <n v="1"/>
    <m/>
    <n v="3"/>
    <m/>
    <n v="1"/>
    <m/>
  </r>
  <r>
    <d v="2025-10-09T00:00:00"/>
    <x v="0"/>
    <x v="4"/>
    <s v="Rockets"/>
    <m/>
    <m/>
    <x v="11"/>
    <m/>
    <m/>
    <m/>
    <n v="19"/>
    <m/>
    <n v="1"/>
    <m/>
    <n v="10"/>
    <n v="7"/>
    <n v="3"/>
    <m/>
  </r>
  <r>
    <d v="2025-10-09T00:00:00"/>
    <x v="0"/>
    <x v="7"/>
    <s v="Rockets"/>
    <m/>
    <m/>
    <x v="11"/>
    <m/>
    <m/>
    <m/>
    <n v="7"/>
    <m/>
    <n v="1"/>
    <m/>
    <n v="11"/>
    <n v="5"/>
    <n v="5"/>
    <m/>
  </r>
  <r>
    <d v="2025-10-09T00:00:00"/>
    <x v="0"/>
    <x v="5"/>
    <s v="Rockets"/>
    <m/>
    <m/>
    <x v="11"/>
    <m/>
    <m/>
    <m/>
    <n v="18"/>
    <m/>
    <n v="0"/>
    <m/>
    <n v="5"/>
    <n v="3"/>
    <n v="3"/>
    <m/>
  </r>
  <r>
    <d v="2025-10-09T00:00:00"/>
    <x v="0"/>
    <x v="2"/>
    <s v="Mavs"/>
    <m/>
    <m/>
    <x v="11"/>
    <m/>
    <m/>
    <m/>
    <n v="7"/>
    <m/>
    <n v="1"/>
    <m/>
    <n v="4"/>
    <n v="7"/>
    <n v="2"/>
    <m/>
  </r>
  <r>
    <d v="2025-10-09T00:00:00"/>
    <x v="0"/>
    <x v="1"/>
    <s v="Mavs"/>
    <m/>
    <m/>
    <x v="11"/>
    <m/>
    <m/>
    <m/>
    <n v="15"/>
    <m/>
    <n v="3"/>
    <m/>
    <n v="5"/>
    <n v="3"/>
    <n v="5"/>
    <m/>
  </r>
  <r>
    <d v="2025-10-09T00:00:00"/>
    <x v="0"/>
    <x v="3"/>
    <s v="Mavs"/>
    <m/>
    <m/>
    <x v="11"/>
    <m/>
    <m/>
    <m/>
    <n v="14"/>
    <m/>
    <n v="2"/>
    <m/>
    <n v="9"/>
    <n v="2"/>
    <n v="1"/>
    <m/>
  </r>
  <r>
    <d v="2025-10-09T00:00:00"/>
    <x v="0"/>
    <x v="4"/>
    <s v="Rockets"/>
    <m/>
    <m/>
    <x v="12"/>
    <m/>
    <m/>
    <m/>
    <n v="4"/>
    <m/>
    <n v="0"/>
    <m/>
    <n v="10"/>
    <n v="2"/>
    <n v="3"/>
    <m/>
  </r>
  <r>
    <d v="2025-10-09T00:00:00"/>
    <x v="0"/>
    <x v="5"/>
    <s v="Rockets"/>
    <m/>
    <m/>
    <x v="12"/>
    <m/>
    <m/>
    <m/>
    <n v="7"/>
    <m/>
    <n v="1"/>
    <m/>
    <n v="8"/>
    <n v="2"/>
    <n v="4"/>
    <m/>
  </r>
  <r>
    <d v="2025-10-09T00:00:00"/>
    <x v="0"/>
    <x v="6"/>
    <s v="Rockets"/>
    <m/>
    <m/>
    <x v="12"/>
    <m/>
    <m/>
    <m/>
    <n v="9"/>
    <m/>
    <n v="3"/>
    <m/>
    <n v="2"/>
    <n v="1"/>
    <n v="1"/>
    <m/>
  </r>
  <r>
    <d v="2025-10-09T00:00:00"/>
    <x v="0"/>
    <x v="2"/>
    <s v="Mavs"/>
    <m/>
    <m/>
    <x v="12"/>
    <m/>
    <m/>
    <m/>
    <n v="0"/>
    <m/>
    <n v="0"/>
    <m/>
    <n v="5"/>
    <n v="3"/>
    <n v="0"/>
    <m/>
  </r>
  <r>
    <d v="2025-10-09T00:00:00"/>
    <x v="0"/>
    <x v="1"/>
    <s v="Mavs"/>
    <m/>
    <m/>
    <x v="12"/>
    <m/>
    <m/>
    <m/>
    <n v="18"/>
    <m/>
    <n v="4"/>
    <m/>
    <n v="12"/>
    <n v="1"/>
    <n v="0"/>
    <m/>
  </r>
  <r>
    <d v="2025-10-09T00:00:00"/>
    <x v="0"/>
    <x v="3"/>
    <s v="Mavs"/>
    <m/>
    <m/>
    <x v="12"/>
    <m/>
    <m/>
    <m/>
    <n v="2"/>
    <m/>
    <n v="0"/>
    <m/>
    <n v="8"/>
    <n v="2"/>
    <n v="1"/>
    <m/>
  </r>
  <r>
    <d v="2025-10-30T00:00:00"/>
    <x v="0"/>
    <x v="4"/>
    <s v="Rockets"/>
    <m/>
    <m/>
    <x v="13"/>
    <m/>
    <m/>
    <m/>
    <n v="6"/>
    <m/>
    <n v="0"/>
    <m/>
    <n v="8"/>
    <n v="2"/>
    <n v="1"/>
    <m/>
  </r>
  <r>
    <d v="2025-10-30T00:00:00"/>
    <x v="0"/>
    <x v="7"/>
    <s v="Rockets"/>
    <m/>
    <m/>
    <x v="13"/>
    <m/>
    <m/>
    <m/>
    <n v="12"/>
    <m/>
    <n v="2"/>
    <m/>
    <n v="6"/>
    <n v="4"/>
    <n v="0"/>
    <m/>
  </r>
  <r>
    <d v="2025-10-30T00:00:00"/>
    <x v="0"/>
    <x v="5"/>
    <s v="Rockets"/>
    <m/>
    <m/>
    <x v="13"/>
    <m/>
    <m/>
    <m/>
    <n v="5"/>
    <m/>
    <n v="1"/>
    <m/>
    <n v="8"/>
    <n v="1"/>
    <n v="5"/>
    <m/>
  </r>
  <r>
    <d v="2025-10-30T00:00:00"/>
    <x v="0"/>
    <x v="6"/>
    <s v="Rockets"/>
    <m/>
    <m/>
    <x v="13"/>
    <m/>
    <m/>
    <m/>
    <n v="0"/>
    <m/>
    <n v="0"/>
    <m/>
    <n v="2"/>
    <n v="3"/>
    <n v="2"/>
    <m/>
  </r>
  <r>
    <d v="2025-10-30T00:00:00"/>
    <x v="0"/>
    <x v="2"/>
    <s v="Mavs"/>
    <m/>
    <m/>
    <x v="13"/>
    <m/>
    <m/>
    <m/>
    <n v="0"/>
    <m/>
    <n v="0"/>
    <m/>
    <n v="3"/>
    <n v="3"/>
    <n v="1"/>
    <m/>
  </r>
  <r>
    <d v="2025-10-30T00:00:00"/>
    <x v="0"/>
    <x v="1"/>
    <s v="Mavs"/>
    <m/>
    <m/>
    <x v="13"/>
    <m/>
    <m/>
    <m/>
    <n v="2"/>
    <m/>
    <n v="0"/>
    <m/>
    <n v="5"/>
    <n v="6"/>
    <n v="3"/>
    <m/>
  </r>
  <r>
    <d v="2025-10-30T00:00:00"/>
    <x v="0"/>
    <x v="3"/>
    <s v="Mavs"/>
    <m/>
    <m/>
    <x v="13"/>
    <m/>
    <m/>
    <m/>
    <n v="10"/>
    <m/>
    <n v="0"/>
    <m/>
    <n v="6"/>
    <n v="3"/>
    <n v="2"/>
    <m/>
  </r>
  <r>
    <d v="2025-10-30T00:00:00"/>
    <x v="0"/>
    <x v="0"/>
    <s v="Mavs"/>
    <m/>
    <m/>
    <x v="13"/>
    <m/>
    <m/>
    <m/>
    <n v="7"/>
    <m/>
    <n v="1"/>
    <m/>
    <n v="0"/>
    <n v="1"/>
    <n v="3"/>
    <m/>
  </r>
  <r>
    <d v="2025-10-30T00:00:00"/>
    <x v="0"/>
    <x v="4"/>
    <s v="Rockets"/>
    <m/>
    <m/>
    <x v="14"/>
    <m/>
    <m/>
    <m/>
    <n v="16"/>
    <m/>
    <n v="0"/>
    <m/>
    <n v="12"/>
    <n v="2"/>
    <n v="2"/>
    <m/>
  </r>
  <r>
    <d v="2025-10-30T00:00:00"/>
    <x v="0"/>
    <x v="7"/>
    <s v="Rockets"/>
    <m/>
    <m/>
    <x v="14"/>
    <m/>
    <m/>
    <m/>
    <n v="4"/>
    <m/>
    <n v="0"/>
    <m/>
    <n v="3"/>
    <n v="1"/>
    <n v="3"/>
    <m/>
  </r>
  <r>
    <d v="2025-10-30T00:00:00"/>
    <x v="0"/>
    <x v="5"/>
    <s v="Rockets"/>
    <m/>
    <m/>
    <x v="14"/>
    <m/>
    <m/>
    <m/>
    <n v="5"/>
    <m/>
    <n v="1"/>
    <m/>
    <n v="7"/>
    <n v="2"/>
    <n v="4"/>
    <m/>
  </r>
  <r>
    <d v="2025-10-30T00:00:00"/>
    <x v="0"/>
    <x v="6"/>
    <s v="Rockets"/>
    <m/>
    <m/>
    <x v="14"/>
    <m/>
    <m/>
    <m/>
    <n v="2"/>
    <m/>
    <n v="0"/>
    <m/>
    <n v="3"/>
    <n v="1"/>
    <n v="0"/>
    <m/>
  </r>
  <r>
    <d v="2025-10-30T00:00:00"/>
    <x v="0"/>
    <x v="2"/>
    <s v="Mavs"/>
    <m/>
    <m/>
    <x v="14"/>
    <m/>
    <m/>
    <m/>
    <n v="0"/>
    <m/>
    <n v="0"/>
    <m/>
    <n v="6"/>
    <n v="6"/>
    <n v="1"/>
    <m/>
  </r>
  <r>
    <d v="2025-10-30T00:00:00"/>
    <x v="0"/>
    <x v="1"/>
    <s v="Mavs"/>
    <m/>
    <m/>
    <x v="14"/>
    <m/>
    <m/>
    <m/>
    <n v="3"/>
    <m/>
    <n v="1"/>
    <m/>
    <n v="3"/>
    <n v="1"/>
    <n v="6"/>
    <m/>
  </r>
  <r>
    <d v="2025-10-30T00:00:00"/>
    <x v="0"/>
    <x v="3"/>
    <s v="Mavs"/>
    <m/>
    <m/>
    <x v="14"/>
    <m/>
    <m/>
    <m/>
    <n v="16"/>
    <m/>
    <n v="0"/>
    <m/>
    <n v="6"/>
    <n v="3"/>
    <n v="0"/>
    <m/>
  </r>
  <r>
    <d v="2025-10-30T00:00:00"/>
    <x v="0"/>
    <x v="0"/>
    <s v="Mavs"/>
    <m/>
    <m/>
    <x v="14"/>
    <m/>
    <m/>
    <m/>
    <n v="9"/>
    <m/>
    <n v="1"/>
    <m/>
    <n v="1"/>
    <n v="2"/>
    <n v="0"/>
    <m/>
  </r>
  <r>
    <d v="2025-10-30T00:00:00"/>
    <x v="0"/>
    <x v="4"/>
    <s v="Rockets"/>
    <m/>
    <m/>
    <x v="15"/>
    <m/>
    <m/>
    <m/>
    <n v="11"/>
    <m/>
    <n v="1"/>
    <m/>
    <n v="5"/>
    <n v="1"/>
    <n v="3"/>
    <m/>
  </r>
  <r>
    <d v="2025-10-30T00:00:00"/>
    <x v="0"/>
    <x v="7"/>
    <s v="Rockets"/>
    <m/>
    <m/>
    <x v="15"/>
    <m/>
    <m/>
    <m/>
    <n v="7"/>
    <m/>
    <n v="1"/>
    <m/>
    <n v="6"/>
    <n v="0"/>
    <n v="3"/>
    <m/>
  </r>
  <r>
    <d v="2025-10-30T00:00:00"/>
    <x v="0"/>
    <x v="5"/>
    <s v="Rockets"/>
    <m/>
    <m/>
    <x v="15"/>
    <m/>
    <m/>
    <m/>
    <n v="10"/>
    <m/>
    <n v="2"/>
    <m/>
    <n v="2"/>
    <n v="2"/>
    <n v="4"/>
    <m/>
  </r>
  <r>
    <d v="2025-10-30T00:00:00"/>
    <x v="0"/>
    <x v="6"/>
    <s v="Rockets"/>
    <m/>
    <m/>
    <x v="15"/>
    <m/>
    <m/>
    <m/>
    <n v="0"/>
    <m/>
    <n v="0"/>
    <m/>
    <n v="0"/>
    <n v="0"/>
    <n v="0"/>
    <m/>
  </r>
  <r>
    <d v="2025-10-30T00:00:00"/>
    <x v="0"/>
    <x v="2"/>
    <s v="Mavs"/>
    <m/>
    <m/>
    <x v="15"/>
    <m/>
    <m/>
    <m/>
    <n v="7"/>
    <m/>
    <n v="1"/>
    <m/>
    <n v="2"/>
    <n v="1"/>
    <n v="1"/>
    <m/>
  </r>
  <r>
    <d v="2025-10-30T00:00:00"/>
    <x v="0"/>
    <x v="1"/>
    <s v="Mavs"/>
    <m/>
    <m/>
    <x v="15"/>
    <m/>
    <m/>
    <m/>
    <n v="0"/>
    <m/>
    <n v="0"/>
    <m/>
    <n v="2"/>
    <n v="0"/>
    <n v="2"/>
    <m/>
  </r>
  <r>
    <d v="2025-10-30T00:00:00"/>
    <x v="0"/>
    <x v="3"/>
    <s v="Mavs"/>
    <m/>
    <m/>
    <x v="15"/>
    <m/>
    <m/>
    <m/>
    <n v="17"/>
    <m/>
    <n v="1"/>
    <m/>
    <n v="6"/>
    <n v="1"/>
    <n v="0"/>
    <m/>
  </r>
  <r>
    <d v="2025-10-30T00:00:00"/>
    <x v="0"/>
    <x v="0"/>
    <s v="Mavs"/>
    <m/>
    <m/>
    <x v="15"/>
    <m/>
    <m/>
    <m/>
    <n v="3"/>
    <m/>
    <n v="1"/>
    <m/>
    <n v="0"/>
    <n v="2"/>
    <n v="4"/>
    <m/>
  </r>
  <r>
    <d v="2026-03-05T00:00:00"/>
    <x v="1"/>
    <x v="4"/>
    <s v="Pikachus"/>
    <m/>
    <m/>
    <x v="0"/>
    <n v="2"/>
    <n v="2"/>
    <n v="1"/>
    <n v="4"/>
    <n v="3"/>
    <n v="0"/>
    <n v="0"/>
    <n v="6"/>
    <n v="8"/>
    <n v="1"/>
    <n v="0"/>
  </r>
  <r>
    <d v="2026-03-05T00:00:00"/>
    <x v="1"/>
    <x v="3"/>
    <s v="Pikachus"/>
    <m/>
    <m/>
    <x v="0"/>
    <n v="15"/>
    <n v="4"/>
    <n v="0.26666666666666666"/>
    <n v="8"/>
    <n v="4"/>
    <n v="0"/>
    <n v="0"/>
    <n v="13"/>
    <n v="2"/>
    <n v="1"/>
    <n v="0"/>
  </r>
  <r>
    <d v="2026-03-05T00:00:00"/>
    <x v="1"/>
    <x v="6"/>
    <s v="Pikachus"/>
    <m/>
    <m/>
    <x v="0"/>
    <n v="1"/>
    <n v="0"/>
    <n v="0"/>
    <n v="0"/>
    <n v="6"/>
    <n v="0"/>
    <n v="0"/>
    <n v="1"/>
    <n v="1"/>
    <n v="1"/>
    <n v="0"/>
  </r>
  <r>
    <d v="2026-03-05T00:00:00"/>
    <x v="1"/>
    <x v="0"/>
    <s v="Pikachus"/>
    <m/>
    <m/>
    <x v="0"/>
    <n v="4"/>
    <n v="0"/>
    <n v="0"/>
    <n v="3"/>
    <n v="7"/>
    <n v="1"/>
    <n v="0.14285714285714285"/>
    <n v="2"/>
    <n v="0"/>
    <n v="0"/>
    <n v="0"/>
  </r>
  <r>
    <d v="2026-03-05T00:00:00"/>
    <x v="1"/>
    <x v="2"/>
    <s v="Big Dawgs"/>
    <m/>
    <m/>
    <x v="0"/>
    <n v="7"/>
    <n v="2"/>
    <n v="0.2857142857142857"/>
    <n v="4"/>
    <n v="1"/>
    <n v="0"/>
    <n v="0"/>
    <n v="5"/>
    <n v="3"/>
    <n v="1"/>
    <n v="0"/>
  </r>
  <r>
    <d v="2026-03-05T00:00:00"/>
    <x v="1"/>
    <x v="7"/>
    <s v="Big Dawgs"/>
    <m/>
    <m/>
    <x v="0"/>
    <n v="2"/>
    <n v="0"/>
    <n v="0"/>
    <n v="0"/>
    <n v="1"/>
    <n v="0"/>
    <n v="0"/>
    <n v="4"/>
    <n v="1"/>
    <n v="0"/>
    <n v="1"/>
  </r>
  <r>
    <d v="2026-03-05T00:00:00"/>
    <x v="1"/>
    <x v="5"/>
    <s v="Big Dawgs"/>
    <m/>
    <m/>
    <x v="0"/>
    <n v="5"/>
    <n v="3"/>
    <n v="0.6"/>
    <n v="6"/>
    <n v="2"/>
    <n v="0"/>
    <n v="0"/>
    <n v="9"/>
    <n v="1"/>
    <n v="2"/>
    <n v="2"/>
  </r>
  <r>
    <d v="2026-03-05T00:00:00"/>
    <x v="1"/>
    <x v="1"/>
    <s v="Big Dawgs"/>
    <m/>
    <m/>
    <x v="0"/>
    <n v="3"/>
    <n v="1"/>
    <n v="0.33333333333333331"/>
    <n v="5"/>
    <n v="4"/>
    <n v="1"/>
    <n v="0.25"/>
    <n v="2"/>
    <n v="2"/>
    <n v="2"/>
    <n v="1"/>
  </r>
  <r>
    <d v="2026-03-05T00:00:00"/>
    <x v="1"/>
    <x v="4"/>
    <s v="Pikachus"/>
    <m/>
    <m/>
    <x v="1"/>
    <n v="9"/>
    <n v="3"/>
    <n v="0.33333333333333331"/>
    <n v="9"/>
    <n v="4"/>
    <n v="1"/>
    <n v="0.25"/>
    <n v="19"/>
    <n v="7"/>
    <n v="0"/>
    <n v="0"/>
  </r>
  <r>
    <d v="2026-03-05T00:00:00"/>
    <x v="1"/>
    <x v="3"/>
    <s v="Pikachus"/>
    <m/>
    <m/>
    <x v="1"/>
    <n v="7"/>
    <n v="3"/>
    <n v="0.42857142857142855"/>
    <n v="6"/>
    <n v="4"/>
    <n v="0"/>
    <n v="0"/>
    <n v="7"/>
    <n v="2"/>
    <n v="1"/>
    <n v="0"/>
  </r>
  <r>
    <d v="2026-03-05T00:00:00"/>
    <x v="1"/>
    <x v="6"/>
    <s v="Pikachus"/>
    <m/>
    <m/>
    <x v="1"/>
    <n v="4"/>
    <n v="1"/>
    <n v="0.25"/>
    <n v="5"/>
    <n v="10"/>
    <n v="1"/>
    <n v="0.1"/>
    <n v="4"/>
    <n v="3"/>
    <n v="0"/>
    <n v="0"/>
  </r>
  <r>
    <d v="2026-03-05T00:00:00"/>
    <x v="1"/>
    <x v="0"/>
    <s v="Pikachus"/>
    <m/>
    <m/>
    <x v="1"/>
    <n v="4"/>
    <n v="0"/>
    <n v="0"/>
    <n v="3"/>
    <n v="14"/>
    <n v="1"/>
    <n v="7.1428571428571425E-2"/>
    <n v="4"/>
    <n v="1"/>
    <n v="2"/>
    <n v="0"/>
  </r>
  <r>
    <d v="2026-03-05T00:00:00"/>
    <x v="1"/>
    <x v="2"/>
    <s v="Big Dawgs"/>
    <m/>
    <m/>
    <x v="1"/>
    <n v="4"/>
    <n v="1"/>
    <n v="0.25"/>
    <n v="5"/>
    <n v="3"/>
    <n v="1"/>
    <n v="0.33333333333333331"/>
    <n v="1"/>
    <n v="2"/>
    <n v="2"/>
    <n v="0"/>
  </r>
  <r>
    <d v="2026-03-05T00:00:00"/>
    <x v="1"/>
    <x v="7"/>
    <s v="Big Dawgs"/>
    <m/>
    <m/>
    <x v="1"/>
    <n v="4"/>
    <n v="0"/>
    <n v="0"/>
    <n v="0"/>
    <n v="3"/>
    <n v="0"/>
    <n v="0"/>
    <n v="5"/>
    <n v="0"/>
    <n v="0"/>
    <n v="0"/>
  </r>
  <r>
    <d v="2026-03-05T00:00:00"/>
    <x v="1"/>
    <x v="5"/>
    <s v="Big Dawgs"/>
    <m/>
    <m/>
    <x v="1"/>
    <n v="4"/>
    <n v="2"/>
    <n v="0.5"/>
    <n v="7"/>
    <n v="3"/>
    <n v="1"/>
    <n v="0.33333333333333331"/>
    <n v="13"/>
    <n v="0"/>
    <n v="3"/>
    <n v="3"/>
  </r>
  <r>
    <d v="2026-03-05T00:00:00"/>
    <x v="1"/>
    <x v="1"/>
    <s v="Big Dawgs"/>
    <m/>
    <m/>
    <x v="1"/>
    <n v="4"/>
    <n v="1"/>
    <n v="0.25"/>
    <n v="5"/>
    <n v="11"/>
    <n v="1"/>
    <n v="9.0909090909090912E-2"/>
    <n v="8"/>
    <n v="2"/>
    <n v="2"/>
    <n v="0"/>
  </r>
  <r>
    <d v="2026-03-05T00:00:00"/>
    <x v="1"/>
    <x v="4"/>
    <s v="Pikachus"/>
    <m/>
    <m/>
    <x v="2"/>
    <n v="6"/>
    <n v="3"/>
    <n v="0.5"/>
    <n v="6"/>
    <n v="0"/>
    <n v="0"/>
    <n v="0"/>
    <n v="9"/>
    <n v="2"/>
    <n v="2"/>
    <n v="0"/>
  </r>
  <r>
    <d v="2026-03-05T00:00:00"/>
    <x v="1"/>
    <x v="3"/>
    <s v="Pikachus"/>
    <m/>
    <m/>
    <x v="2"/>
    <n v="3"/>
    <n v="2"/>
    <n v="0.66666666666666663"/>
    <n v="4"/>
    <n v="0"/>
    <n v="0"/>
    <n v="0"/>
    <n v="5"/>
    <n v="0"/>
    <n v="0"/>
    <n v="0"/>
  </r>
  <r>
    <d v="2026-03-05T00:00:00"/>
    <x v="1"/>
    <x v="6"/>
    <s v="Pikachus"/>
    <m/>
    <m/>
    <x v="2"/>
    <n v="2"/>
    <n v="1"/>
    <n v="0.5"/>
    <n v="5"/>
    <n v="3"/>
    <n v="1"/>
    <n v="0.33333333333333331"/>
    <n v="1"/>
    <n v="1"/>
    <n v="1"/>
    <n v="0"/>
  </r>
  <r>
    <d v="2026-03-05T00:00:00"/>
    <x v="1"/>
    <x v="0"/>
    <s v="Pikachus"/>
    <m/>
    <m/>
    <x v="2"/>
    <n v="3"/>
    <n v="1"/>
    <n v="0.33333333333333331"/>
    <n v="2"/>
    <n v="2"/>
    <n v="0"/>
    <n v="0"/>
    <n v="0"/>
    <n v="0"/>
    <n v="0"/>
    <n v="0"/>
  </r>
  <r>
    <d v="2026-03-05T00:00:00"/>
    <x v="1"/>
    <x v="2"/>
    <s v="Big Dawgs"/>
    <m/>
    <m/>
    <x v="2"/>
    <n v="2"/>
    <n v="1"/>
    <n v="0.5"/>
    <n v="2"/>
    <n v="0"/>
    <n v="0"/>
    <n v="0"/>
    <n v="1"/>
    <n v="0"/>
    <n v="0"/>
    <n v="0"/>
  </r>
  <r>
    <d v="2026-03-05T00:00:00"/>
    <x v="1"/>
    <x v="7"/>
    <s v="Big Dawgs"/>
    <m/>
    <m/>
    <x v="2"/>
    <n v="0"/>
    <n v="0"/>
    <n v="0"/>
    <n v="0"/>
    <n v="1"/>
    <n v="0"/>
    <n v="0"/>
    <n v="0"/>
    <n v="0"/>
    <n v="0"/>
    <n v="0"/>
  </r>
  <r>
    <d v="2026-03-05T00:00:00"/>
    <x v="1"/>
    <x v="5"/>
    <s v="Big Dawgs"/>
    <m/>
    <m/>
    <x v="2"/>
    <n v="4"/>
    <n v="2"/>
    <n v="0.5"/>
    <n v="7"/>
    <n v="4"/>
    <n v="1"/>
    <n v="0.25"/>
    <n v="2"/>
    <n v="2"/>
    <n v="2"/>
    <n v="2"/>
  </r>
  <r>
    <d v="2026-03-05T00:00:00"/>
    <x v="1"/>
    <x v="1"/>
    <s v="Big Dawgs"/>
    <m/>
    <m/>
    <x v="2"/>
    <n v="5"/>
    <n v="2"/>
    <n v="0.4"/>
    <n v="7"/>
    <n v="6"/>
    <n v="1"/>
    <n v="0.16666666666666666"/>
    <n v="5"/>
    <n v="4"/>
    <n v="2"/>
    <n v="0"/>
  </r>
  <r>
    <d v="2026-03-17T00:00:00"/>
    <x v="1"/>
    <x v="4"/>
    <s v="Pikachus"/>
    <m/>
    <m/>
    <x v="0"/>
    <n v="8"/>
    <n v="4"/>
    <n v="0.5"/>
    <n v="11"/>
    <n v="2"/>
    <n v="1"/>
    <n v="0.5"/>
    <n v="11"/>
    <n v="6"/>
    <n v="1"/>
    <n v="0"/>
  </r>
  <r>
    <d v="2026-03-17T00:00:00"/>
    <x v="1"/>
    <x v="3"/>
    <s v="Pikachus"/>
    <m/>
    <m/>
    <x v="0"/>
    <n v="7"/>
    <n v="1"/>
    <n v="0.14285714285714285"/>
    <n v="2"/>
    <n v="3"/>
    <n v="0"/>
    <n v="0"/>
    <n v="8"/>
    <n v="7"/>
    <n v="5"/>
    <n v="1"/>
  </r>
  <r>
    <d v="2026-03-17T00:00:00"/>
    <x v="1"/>
    <x v="6"/>
    <s v="Pikachus"/>
    <m/>
    <m/>
    <x v="0"/>
    <n v="5"/>
    <n v="1"/>
    <n v="0.2"/>
    <n v="5"/>
    <n v="6"/>
    <n v="1"/>
    <n v="0.16666666666666666"/>
    <n v="8"/>
    <n v="2"/>
    <n v="0"/>
    <n v="0"/>
  </r>
  <r>
    <d v="2026-03-17T00:00:00"/>
    <x v="1"/>
    <x v="0"/>
    <s v="Pikachus"/>
    <m/>
    <m/>
    <x v="0"/>
    <n v="7"/>
    <n v="1"/>
    <n v="0.14285714285714285"/>
    <n v="2"/>
    <n v="9"/>
    <n v="1"/>
    <n v="0.1111111111111111"/>
    <n v="1"/>
    <n v="3"/>
    <n v="0"/>
    <n v="0"/>
  </r>
  <r>
    <d v="2026-03-17T00:00:00"/>
    <x v="1"/>
    <x v="2"/>
    <s v="Big Dawgs"/>
    <m/>
    <m/>
    <x v="0"/>
    <n v="4"/>
    <n v="3"/>
    <n v="0.75"/>
    <n v="9"/>
    <n v="2"/>
    <n v="1"/>
    <n v="0.5"/>
    <n v="3"/>
    <n v="3"/>
    <n v="2"/>
    <n v="0"/>
  </r>
  <r>
    <d v="2026-03-17T00:00:00"/>
    <x v="1"/>
    <x v="7"/>
    <s v="Big Dawgs"/>
    <m/>
    <m/>
    <x v="0"/>
    <n v="7"/>
    <n v="2"/>
    <n v="0.2857142857142857"/>
    <n v="4"/>
    <n v="1"/>
    <n v="0"/>
    <n v="0"/>
    <n v="10"/>
    <n v="4"/>
    <n v="4"/>
    <n v="1"/>
  </r>
  <r>
    <d v="2026-03-17T00:00:00"/>
    <x v="1"/>
    <x v="5"/>
    <s v="Big Dawgs"/>
    <m/>
    <m/>
    <x v="0"/>
    <n v="2"/>
    <n v="2"/>
    <n v="1"/>
    <n v="10"/>
    <n v="7"/>
    <n v="2"/>
    <n v="0.2857142857142857"/>
    <n v="2"/>
    <n v="5"/>
    <n v="1"/>
    <n v="2"/>
  </r>
  <r>
    <d v="2026-03-17T00:00:00"/>
    <x v="1"/>
    <x v="1"/>
    <s v="Big Dawgs"/>
    <m/>
    <m/>
    <x v="0"/>
    <n v="4"/>
    <n v="0"/>
    <n v="0"/>
    <n v="0"/>
    <n v="7"/>
    <n v="0"/>
    <n v="0"/>
    <n v="7"/>
    <n v="3"/>
    <n v="0"/>
    <n v="1"/>
  </r>
  <r>
    <d v="2026-03-17T00:00:00"/>
    <x v="1"/>
    <x v="4"/>
    <s v="Pikachus"/>
    <m/>
    <m/>
    <x v="1"/>
    <n v="8"/>
    <n v="3"/>
    <n v="0.375"/>
    <n v="6"/>
    <n v="1"/>
    <n v="0"/>
    <n v="0"/>
    <n v="12"/>
    <n v="3"/>
    <n v="3"/>
    <n v="0"/>
  </r>
  <r>
    <d v="2026-03-17T00:00:00"/>
    <x v="1"/>
    <x v="3"/>
    <s v="Pikachus"/>
    <m/>
    <m/>
    <x v="1"/>
    <n v="4"/>
    <n v="2"/>
    <n v="0.5"/>
    <n v="4"/>
    <n v="3"/>
    <n v="0"/>
    <n v="0"/>
    <n v="7"/>
    <n v="1"/>
    <n v="1"/>
    <n v="1"/>
  </r>
  <r>
    <d v="2026-03-17T00:00:00"/>
    <x v="1"/>
    <x v="6"/>
    <s v="Pikachus"/>
    <m/>
    <m/>
    <x v="1"/>
    <n v="3"/>
    <n v="0"/>
    <n v="0"/>
    <n v="3"/>
    <n v="6"/>
    <n v="1"/>
    <n v="0.16666666666666666"/>
    <n v="1"/>
    <n v="2"/>
    <n v="3"/>
    <n v="0"/>
  </r>
  <r>
    <d v="2026-03-17T00:00:00"/>
    <x v="1"/>
    <x v="0"/>
    <s v="Pikachus"/>
    <m/>
    <m/>
    <x v="1"/>
    <n v="4"/>
    <n v="3"/>
    <n v="0.75"/>
    <n v="9"/>
    <n v="7"/>
    <n v="1"/>
    <n v="0.14285714285714285"/>
    <n v="1"/>
    <n v="4"/>
    <n v="0"/>
    <n v="0"/>
  </r>
  <r>
    <d v="2026-03-17T00:00:00"/>
    <x v="1"/>
    <x v="2"/>
    <s v="Big Dawgs"/>
    <m/>
    <m/>
    <x v="1"/>
    <n v="7"/>
    <n v="3"/>
    <n v="0.42857142857142855"/>
    <n v="9"/>
    <n v="1"/>
    <n v="1"/>
    <n v="1"/>
    <n v="2"/>
    <n v="2"/>
    <n v="3"/>
    <n v="0"/>
  </r>
  <r>
    <d v="2026-03-17T00:00:00"/>
    <x v="1"/>
    <x v="7"/>
    <s v="Big Dawgs"/>
    <m/>
    <m/>
    <x v="1"/>
    <n v="6"/>
    <n v="3"/>
    <n v="0.5"/>
    <n v="6"/>
    <n v="0"/>
    <n v="0"/>
    <n v="0"/>
    <n v="4"/>
    <n v="1"/>
    <n v="2"/>
    <n v="0"/>
  </r>
  <r>
    <d v="2026-03-17T00:00:00"/>
    <x v="1"/>
    <x v="5"/>
    <s v="Big Dawgs"/>
    <m/>
    <m/>
    <x v="1"/>
    <n v="2"/>
    <n v="2"/>
    <n v="1"/>
    <n v="19"/>
    <n v="7"/>
    <n v="5"/>
    <n v="0.7142857142857143"/>
    <n v="4"/>
    <n v="4"/>
    <n v="5"/>
    <n v="0"/>
  </r>
  <r>
    <d v="2026-03-17T00:00:00"/>
    <x v="1"/>
    <x v="1"/>
    <s v="Big Dawgs"/>
    <m/>
    <m/>
    <x v="1"/>
    <n v="4"/>
    <n v="1"/>
    <n v="0.25"/>
    <n v="8"/>
    <n v="4"/>
    <n v="2"/>
    <n v="0.5"/>
    <n v="0"/>
    <n v="3"/>
    <n v="3"/>
    <n v="0"/>
  </r>
  <r>
    <d v="2026-03-17T00:00:00"/>
    <x v="1"/>
    <x v="4"/>
    <s v="Pikachus"/>
    <m/>
    <m/>
    <x v="2"/>
    <n v="11"/>
    <n v="1"/>
    <n v="9.0909090909090912E-2"/>
    <n v="2"/>
    <n v="1"/>
    <n v="0"/>
    <n v="0"/>
    <n v="17"/>
    <n v="1"/>
    <n v="1"/>
    <n v="0"/>
  </r>
  <r>
    <d v="2026-03-17T00:00:00"/>
    <x v="1"/>
    <x v="3"/>
    <s v="Pikachus"/>
    <m/>
    <m/>
    <x v="2"/>
    <n v="6"/>
    <n v="3"/>
    <n v="0.5"/>
    <n v="6"/>
    <n v="4"/>
    <n v="0"/>
    <n v="0"/>
    <n v="8"/>
    <n v="4"/>
    <n v="0"/>
    <n v="1"/>
  </r>
  <r>
    <d v="2026-03-17T00:00:00"/>
    <x v="1"/>
    <x v="6"/>
    <s v="Pikachus"/>
    <m/>
    <m/>
    <x v="2"/>
    <n v="0"/>
    <n v="0"/>
    <n v="0"/>
    <n v="3"/>
    <n v="7"/>
    <n v="1"/>
    <n v="0.14285714285714285"/>
    <n v="2"/>
    <n v="0"/>
    <n v="1"/>
    <n v="0"/>
  </r>
  <r>
    <d v="2026-03-17T00:00:00"/>
    <x v="1"/>
    <x v="0"/>
    <s v="Pikachus"/>
    <m/>
    <m/>
    <x v="2"/>
    <n v="9"/>
    <n v="2"/>
    <n v="0.22222222222222221"/>
    <n v="7"/>
    <n v="9"/>
    <n v="1"/>
    <n v="0.1111111111111111"/>
    <n v="3"/>
    <n v="2"/>
    <n v="1"/>
    <n v="0"/>
  </r>
  <r>
    <d v="2026-03-17T00:00:00"/>
    <x v="1"/>
    <x v="2"/>
    <s v="Big Dawgs"/>
    <m/>
    <m/>
    <x v="2"/>
    <n v="5"/>
    <n v="1"/>
    <n v="0.2"/>
    <n v="2"/>
    <n v="1"/>
    <n v="0"/>
    <n v="0"/>
    <n v="4"/>
    <n v="4"/>
    <n v="3"/>
    <n v="0"/>
  </r>
  <r>
    <d v="2026-03-17T00:00:00"/>
    <x v="1"/>
    <x v="7"/>
    <s v="Big Dawgs"/>
    <m/>
    <m/>
    <x v="2"/>
    <n v="7"/>
    <n v="2"/>
    <n v="0.2857142857142857"/>
    <n v="4"/>
    <n v="3"/>
    <n v="0"/>
    <n v="0"/>
    <n v="13"/>
    <n v="0"/>
    <n v="1"/>
    <n v="0"/>
  </r>
  <r>
    <d v="2026-03-17T00:00:00"/>
    <x v="1"/>
    <x v="5"/>
    <s v="Big Dawgs"/>
    <m/>
    <m/>
    <x v="2"/>
    <n v="3"/>
    <n v="2"/>
    <n v="0.66666666666666663"/>
    <n v="4"/>
    <n v="3"/>
    <n v="0"/>
    <n v="0"/>
    <n v="5"/>
    <n v="1"/>
    <n v="1"/>
    <n v="1"/>
  </r>
  <r>
    <d v="2026-03-17T00:00:00"/>
    <x v="1"/>
    <x v="1"/>
    <s v="Big Dawgs"/>
    <m/>
    <m/>
    <x v="2"/>
    <n v="6"/>
    <n v="1"/>
    <n v="0.16666666666666666"/>
    <n v="8"/>
    <n v="6"/>
    <n v="2"/>
    <n v="0.33333333333333331"/>
    <n v="6"/>
    <n v="0"/>
    <n v="0"/>
    <n v="0"/>
  </r>
  <r>
    <d v="2026-04-23T00:00:00"/>
    <x v="1"/>
    <x v="4"/>
    <s v="Pikachus"/>
    <m/>
    <m/>
    <x v="0"/>
    <n v="10"/>
    <n v="4"/>
    <n v="0.4"/>
    <n v="8"/>
    <n v="4"/>
    <n v="0"/>
    <n v="0"/>
    <n v="11"/>
    <n v="7"/>
    <n v="2"/>
    <n v="0"/>
  </r>
  <r>
    <d v="2026-04-23T00:00:00"/>
    <x v="1"/>
    <x v="3"/>
    <s v="Pikachus"/>
    <m/>
    <m/>
    <x v="0"/>
    <n v="4"/>
    <n v="3"/>
    <n v="0.75"/>
    <n v="6"/>
    <n v="1"/>
    <n v="0"/>
    <n v="0"/>
    <n v="5"/>
    <n v="1"/>
    <n v="1"/>
    <n v="0"/>
  </r>
  <r>
    <d v="2026-04-23T00:00:00"/>
    <x v="1"/>
    <x v="6"/>
    <s v="Pikachus"/>
    <m/>
    <m/>
    <x v="0"/>
    <n v="7"/>
    <n v="1"/>
    <n v="0.14285714285714285"/>
    <n v="5"/>
    <n v="4"/>
    <n v="1"/>
    <n v="0.25"/>
    <n v="5"/>
    <n v="2"/>
    <n v="0"/>
    <n v="0"/>
  </r>
  <r>
    <d v="2026-04-23T00:00:00"/>
    <x v="1"/>
    <x v="0"/>
    <s v="Pikachus"/>
    <m/>
    <m/>
    <x v="0"/>
    <n v="5"/>
    <n v="1"/>
    <n v="0.2"/>
    <n v="2"/>
    <n v="7"/>
    <n v="0"/>
    <n v="0"/>
    <n v="2"/>
    <n v="2"/>
    <n v="1"/>
    <n v="0"/>
  </r>
  <r>
    <d v="2026-04-23T00:00:00"/>
    <x v="1"/>
    <x v="2"/>
    <s v="Big Dawgs"/>
    <m/>
    <m/>
    <x v="0"/>
    <n v="4"/>
    <n v="1"/>
    <n v="0.25"/>
    <n v="5"/>
    <n v="5"/>
    <n v="1"/>
    <n v="0.2"/>
    <n v="1"/>
    <n v="3"/>
    <n v="3"/>
    <n v="0"/>
  </r>
  <r>
    <d v="2026-04-23T00:00:00"/>
    <x v="1"/>
    <x v="7"/>
    <s v="Big Dawgs"/>
    <m/>
    <m/>
    <x v="0"/>
    <n v="7"/>
    <n v="2"/>
    <n v="0.2857142857142857"/>
    <n v="4"/>
    <n v="0"/>
    <n v="0"/>
    <n v="0"/>
    <n v="5"/>
    <n v="1"/>
    <n v="0"/>
    <n v="0"/>
  </r>
  <r>
    <d v="2026-04-23T00:00:00"/>
    <x v="1"/>
    <x v="5"/>
    <s v="Big Dawgs"/>
    <m/>
    <m/>
    <x v="0"/>
    <n v="4"/>
    <n v="2"/>
    <n v="0.5"/>
    <n v="13"/>
    <n v="6"/>
    <n v="3"/>
    <n v="0.5"/>
    <n v="5"/>
    <n v="3"/>
    <n v="3"/>
    <n v="2"/>
  </r>
  <r>
    <d v="2026-04-23T00:00:00"/>
    <x v="1"/>
    <x v="1"/>
    <s v="Big Dawgs"/>
    <m/>
    <m/>
    <x v="0"/>
    <n v="4"/>
    <n v="2"/>
    <n v="0.5"/>
    <n v="4"/>
    <n v="0"/>
    <n v="0"/>
    <n v="0"/>
    <n v="6"/>
    <n v="2"/>
    <n v="5"/>
    <n v="1"/>
  </r>
  <r>
    <d v="2026-04-23T00:00:00"/>
    <x v="1"/>
    <x v="4"/>
    <s v="Pikachus"/>
    <m/>
    <m/>
    <x v="1"/>
    <n v="6"/>
    <n v="1"/>
    <n v="0.16666666666666666"/>
    <n v="2"/>
    <n v="1"/>
    <n v="0"/>
    <n v="0"/>
    <n v="10"/>
    <n v="6"/>
    <n v="3"/>
    <n v="1"/>
  </r>
  <r>
    <d v="2026-04-23T00:00:00"/>
    <x v="1"/>
    <x v="3"/>
    <s v="Pikachus"/>
    <m/>
    <m/>
    <x v="1"/>
    <n v="3"/>
    <n v="1"/>
    <n v="0.33333333333333331"/>
    <n v="2"/>
    <n v="2"/>
    <n v="0"/>
    <n v="0"/>
    <n v="9"/>
    <n v="3"/>
    <n v="5"/>
    <n v="0"/>
  </r>
  <r>
    <d v="2026-04-23T00:00:00"/>
    <x v="1"/>
    <x v="6"/>
    <s v="Pikachus"/>
    <m/>
    <m/>
    <x v="1"/>
    <n v="5"/>
    <n v="2"/>
    <n v="0.4"/>
    <n v="10"/>
    <n v="6"/>
    <n v="2"/>
    <n v="0.33333333333333331"/>
    <n v="6"/>
    <n v="1"/>
    <n v="0"/>
    <n v="0"/>
  </r>
  <r>
    <d v="2026-04-23T00:00:00"/>
    <x v="1"/>
    <x v="0"/>
    <s v="Pikachus"/>
    <m/>
    <m/>
    <x v="1"/>
    <n v="2"/>
    <n v="0"/>
    <n v="0"/>
    <n v="15"/>
    <n v="14"/>
    <n v="5"/>
    <n v="0.35714285714285715"/>
    <n v="2"/>
    <n v="3"/>
    <n v="0"/>
    <n v="0"/>
  </r>
  <r>
    <d v="2026-04-23T00:00:00"/>
    <x v="1"/>
    <x v="2"/>
    <s v="Big Dawgs"/>
    <m/>
    <m/>
    <x v="1"/>
    <n v="7"/>
    <n v="0"/>
    <n v="0"/>
    <n v="0"/>
    <n v="4"/>
    <n v="0"/>
    <n v="0"/>
    <n v="10"/>
    <n v="3"/>
    <n v="3"/>
    <n v="0"/>
  </r>
  <r>
    <d v="2026-04-23T00:00:00"/>
    <x v="1"/>
    <x v="7"/>
    <s v="Big Dawgs"/>
    <m/>
    <m/>
    <x v="1"/>
    <n v="10"/>
    <n v="2"/>
    <n v="0.2"/>
    <n v="4"/>
    <n v="0"/>
    <n v="0"/>
    <n v="0"/>
    <n v="8"/>
    <n v="3"/>
    <n v="0"/>
    <n v="0"/>
  </r>
  <r>
    <d v="2026-04-23T00:00:00"/>
    <x v="1"/>
    <x v="5"/>
    <s v="Big Dawgs"/>
    <m/>
    <m/>
    <x v="1"/>
    <n v="5"/>
    <n v="1"/>
    <n v="0.2"/>
    <n v="11"/>
    <n v="7"/>
    <n v="3"/>
    <n v="0.42857142857142855"/>
    <n v="7"/>
    <n v="5"/>
    <n v="2"/>
    <n v="1"/>
  </r>
  <r>
    <d v="2026-04-23T00:00:00"/>
    <x v="1"/>
    <x v="4"/>
    <s v="Pikachus"/>
    <m/>
    <m/>
    <x v="2"/>
    <n v="2"/>
    <n v="1"/>
    <n v="0.5"/>
    <n v="2"/>
    <n v="2"/>
    <n v="0"/>
    <n v="0"/>
    <n v="10"/>
    <n v="1"/>
    <n v="1"/>
    <n v="1"/>
  </r>
  <r>
    <d v="2026-04-23T00:00:00"/>
    <x v="1"/>
    <x v="3"/>
    <s v="Pikachus"/>
    <m/>
    <m/>
    <x v="2"/>
    <n v="2"/>
    <n v="1"/>
    <n v="0.5"/>
    <n v="8"/>
    <n v="4"/>
    <n v="2"/>
    <n v="0.5"/>
    <n v="7"/>
    <n v="1"/>
    <n v="5"/>
    <n v="1"/>
  </r>
  <r>
    <d v="2026-04-23T00:00:00"/>
    <x v="1"/>
    <x v="6"/>
    <s v="Pikachus"/>
    <m/>
    <m/>
    <x v="2"/>
    <n v="4"/>
    <n v="2"/>
    <n v="0.5"/>
    <n v="4"/>
    <n v="3"/>
    <n v="0"/>
    <n v="0"/>
    <n v="2"/>
    <n v="3"/>
    <n v="0"/>
    <n v="0"/>
  </r>
  <r>
    <d v="2026-04-23T00:00:00"/>
    <x v="1"/>
    <x v="0"/>
    <s v="Pikachus"/>
    <m/>
    <m/>
    <x v="2"/>
    <n v="3"/>
    <n v="1"/>
    <n v="0.33333333333333331"/>
    <n v="11"/>
    <n v="10"/>
    <n v="3"/>
    <n v="0.3"/>
    <n v="2"/>
    <n v="1"/>
    <n v="1"/>
    <n v="0"/>
  </r>
  <r>
    <d v="2026-04-23T00:00:00"/>
    <x v="1"/>
    <x v="2"/>
    <s v="Big Dawgs"/>
    <m/>
    <m/>
    <x v="2"/>
    <n v="4"/>
    <n v="0"/>
    <n v="0"/>
    <n v="0"/>
    <n v="2"/>
    <n v="0"/>
    <n v="0"/>
    <n v="6"/>
    <n v="1"/>
    <n v="0"/>
    <n v="0"/>
  </r>
  <r>
    <d v="2026-04-23T00:00:00"/>
    <x v="1"/>
    <x v="7"/>
    <s v="Big Dawgs"/>
    <m/>
    <m/>
    <x v="2"/>
    <n v="7"/>
    <n v="2"/>
    <n v="0.2857142857142857"/>
    <n v="4"/>
    <n v="0"/>
    <n v="0"/>
    <n v="0"/>
    <n v="7"/>
    <n v="2"/>
    <n v="3"/>
    <n v="0"/>
  </r>
  <r>
    <d v="2026-04-23T00:00:00"/>
    <x v="1"/>
    <x v="5"/>
    <s v="Big Dawgs"/>
    <m/>
    <m/>
    <x v="2"/>
    <n v="7"/>
    <n v="2"/>
    <n v="0.2857142857142857"/>
    <n v="7"/>
    <n v="7"/>
    <n v="1"/>
    <n v="0.14285714285714285"/>
    <n v="4"/>
    <n v="3"/>
    <n v="4"/>
    <n v="1"/>
  </r>
  <r>
    <d v="2026-04-23T00:00:00"/>
    <x v="1"/>
    <x v="1"/>
    <s v="Big Dawgs"/>
    <m/>
    <m/>
    <x v="2"/>
    <n v="12"/>
    <n v="6"/>
    <n v="0.5"/>
    <n v="15"/>
    <n v="9"/>
    <n v="1"/>
    <n v="0.1111111111111111"/>
    <n v="7"/>
    <n v="6"/>
    <n v="2"/>
    <n v="0"/>
  </r>
  <r>
    <d v="2026-05-07T00:00:00"/>
    <x v="1"/>
    <x v="4"/>
    <s v="Pikachus"/>
    <m/>
    <m/>
    <x v="0"/>
    <n v="5"/>
    <n v="4"/>
    <n v="0.8"/>
    <n v="11"/>
    <n v="2"/>
    <n v="1"/>
    <n v="0.5"/>
    <n v="10"/>
    <n v="8"/>
    <n v="4"/>
    <n v="0"/>
  </r>
  <r>
    <d v="2026-05-07T00:00:00"/>
    <x v="1"/>
    <x v="3"/>
    <s v="Pikachus"/>
    <m/>
    <m/>
    <x v="0"/>
    <n v="8"/>
    <n v="4"/>
    <n v="0.5"/>
    <n v="8"/>
    <n v="3"/>
    <n v="0"/>
    <n v="0"/>
    <n v="14"/>
    <n v="1"/>
    <n v="2"/>
    <n v="0"/>
  </r>
  <r>
    <d v="2026-05-07T00:00:00"/>
    <x v="1"/>
    <x v="6"/>
    <s v="Pikachus"/>
    <m/>
    <m/>
    <x v="0"/>
    <n v="4"/>
    <n v="0"/>
    <n v="0"/>
    <n v="6"/>
    <n v="5"/>
    <n v="2"/>
    <n v="0.4"/>
    <n v="1"/>
    <n v="2"/>
    <n v="0"/>
    <n v="1"/>
  </r>
  <r>
    <d v="2026-05-07T00:00:00"/>
    <x v="1"/>
    <x v="0"/>
    <s v="Pikachus"/>
    <m/>
    <m/>
    <x v="0"/>
    <n v="2"/>
    <n v="0"/>
    <n v="0"/>
    <n v="3"/>
    <n v="8"/>
    <n v="1"/>
    <n v="0.125"/>
    <n v="1"/>
    <n v="0"/>
    <n v="2"/>
    <n v="0"/>
  </r>
  <r>
    <d v="2026-05-07T00:00:00"/>
    <x v="1"/>
    <x v="2"/>
    <s v="Big Dawgs"/>
    <m/>
    <m/>
    <x v="0"/>
    <n v="7"/>
    <n v="3"/>
    <n v="0.42857142857142855"/>
    <n v="6"/>
    <n v="0"/>
    <n v="0"/>
    <n v="0"/>
    <n v="6"/>
    <n v="3"/>
    <n v="0"/>
    <n v="0"/>
  </r>
  <r>
    <d v="2026-05-07T00:00:00"/>
    <x v="1"/>
    <x v="7"/>
    <s v="Big Dawgs"/>
    <m/>
    <m/>
    <x v="0"/>
    <n v="7"/>
    <n v="2"/>
    <n v="0.2857142857142857"/>
    <n v="4"/>
    <n v="0"/>
    <n v="0"/>
    <n v="0"/>
    <n v="6"/>
    <n v="2"/>
    <n v="0"/>
    <n v="0"/>
  </r>
  <r>
    <d v="2026-05-07T00:00:00"/>
    <x v="1"/>
    <x v="5"/>
    <s v="Big Dawgs"/>
    <m/>
    <m/>
    <x v="0"/>
    <n v="7"/>
    <n v="2"/>
    <n v="0.2857142857142857"/>
    <n v="7"/>
    <n v="8"/>
    <n v="1"/>
    <n v="0.125"/>
    <n v="7"/>
    <n v="3"/>
    <n v="2"/>
    <n v="1"/>
  </r>
  <r>
    <d v="2026-05-07T00:00:00"/>
    <x v="1"/>
    <x v="1"/>
    <s v="Big Dawgs"/>
    <m/>
    <m/>
    <x v="0"/>
    <n v="6"/>
    <n v="1"/>
    <n v="0.16666666666666666"/>
    <n v="5"/>
    <n v="6"/>
    <n v="1"/>
    <n v="0.16666666666666666"/>
    <n v="12"/>
    <n v="2"/>
    <n v="5"/>
    <n v="0"/>
  </r>
  <r>
    <d v="2026-05-07T00:00:00"/>
    <x v="1"/>
    <x v="4"/>
    <s v="Pikachus"/>
    <m/>
    <m/>
    <x v="1"/>
    <n v="2"/>
    <n v="1"/>
    <n v="0.5"/>
    <n v="2"/>
    <n v="1"/>
    <n v="0"/>
    <n v="0"/>
    <n v="5"/>
    <n v="4"/>
    <n v="3"/>
    <n v="0"/>
  </r>
  <r>
    <d v="2026-05-07T00:00:00"/>
    <x v="1"/>
    <x v="3"/>
    <s v="Pikachus"/>
    <m/>
    <m/>
    <x v="1"/>
    <n v="6"/>
    <n v="2"/>
    <n v="0.33333333333333331"/>
    <n v="4"/>
    <n v="2"/>
    <n v="0"/>
    <n v="0"/>
    <n v="6"/>
    <n v="0"/>
    <n v="2"/>
    <n v="1"/>
  </r>
  <r>
    <d v="2026-05-07T00:00:00"/>
    <x v="1"/>
    <x v="6"/>
    <s v="Pikachus"/>
    <m/>
    <m/>
    <x v="1"/>
    <n v="2"/>
    <n v="0"/>
    <n v="0"/>
    <n v="6"/>
    <n v="4"/>
    <n v="2"/>
    <n v="0.5"/>
    <n v="2"/>
    <n v="0"/>
    <n v="0"/>
    <n v="0"/>
  </r>
  <r>
    <d v="2026-05-07T00:00:00"/>
    <x v="1"/>
    <x v="0"/>
    <s v="Pikachus"/>
    <m/>
    <m/>
    <x v="1"/>
    <n v="1"/>
    <n v="0"/>
    <n v="0"/>
    <n v="6"/>
    <n v="12"/>
    <n v="2"/>
    <n v="0.16666666666666666"/>
    <n v="2"/>
    <n v="1"/>
    <n v="1"/>
    <n v="0"/>
  </r>
  <r>
    <d v="2026-05-07T00:00:00"/>
    <x v="1"/>
    <x v="2"/>
    <s v="Big Dawgs"/>
    <m/>
    <m/>
    <x v="1"/>
    <n v="13"/>
    <n v="5"/>
    <n v="0.38461538461538464"/>
    <n v="13"/>
    <n v="2"/>
    <n v="1"/>
    <n v="0.5"/>
    <n v="5"/>
    <n v="0"/>
    <n v="1"/>
    <n v="0"/>
  </r>
  <r>
    <d v="2026-05-07T00:00:00"/>
    <x v="1"/>
    <x v="7"/>
    <s v="Big Dawgs"/>
    <m/>
    <m/>
    <x v="1"/>
    <n v="3"/>
    <n v="1"/>
    <n v="0.33333333333333331"/>
    <n v="2"/>
    <n v="0"/>
    <n v="0"/>
    <n v="0"/>
    <n v="6"/>
    <n v="1"/>
    <n v="3"/>
    <n v="0"/>
  </r>
  <r>
    <d v="2026-05-07T00:00:00"/>
    <x v="1"/>
    <x v="5"/>
    <s v="Big Dawgs"/>
    <m/>
    <m/>
    <x v="1"/>
    <n v="5"/>
    <n v="3"/>
    <n v="0.6"/>
    <n v="12"/>
    <n v="4"/>
    <n v="2"/>
    <n v="0.5"/>
    <n v="3"/>
    <n v="4"/>
    <n v="4"/>
    <n v="2"/>
  </r>
  <r>
    <d v="2026-05-07T00:00:00"/>
    <x v="1"/>
    <x v="1"/>
    <s v="Big Dawgs"/>
    <m/>
    <m/>
    <x v="1"/>
    <n v="5"/>
    <n v="2"/>
    <n v="0.4"/>
    <n v="4"/>
    <n v="4"/>
    <n v="0"/>
    <n v="0"/>
    <n v="10"/>
    <n v="0"/>
    <n v="2"/>
    <n v="0"/>
  </r>
  <r>
    <d v="2026-05-07T00:00:00"/>
    <x v="1"/>
    <x v="4"/>
    <s v="Pikachus"/>
    <m/>
    <m/>
    <x v="2"/>
    <n v="3"/>
    <n v="1"/>
    <n v="0.33333333333333331"/>
    <n v="2"/>
    <n v="5"/>
    <n v="0"/>
    <n v="0"/>
    <n v="15"/>
    <n v="5"/>
    <n v="2"/>
    <n v="0"/>
  </r>
  <r>
    <d v="2026-05-07T00:00:00"/>
    <x v="1"/>
    <x v="3"/>
    <s v="Pikachus"/>
    <m/>
    <m/>
    <x v="2"/>
    <n v="9"/>
    <n v="4"/>
    <n v="0.44444444444444442"/>
    <n v="8"/>
    <n v="3"/>
    <n v="0"/>
    <n v="0"/>
    <n v="12"/>
    <n v="1"/>
    <n v="2"/>
    <n v="1"/>
  </r>
  <r>
    <d v="2026-05-07T00:00:00"/>
    <x v="1"/>
    <x v="6"/>
    <s v="Pikachus"/>
    <m/>
    <m/>
    <x v="2"/>
    <n v="0"/>
    <n v="0"/>
    <n v="0"/>
    <n v="6"/>
    <n v="10"/>
    <n v="2"/>
    <n v="0.2"/>
    <n v="2"/>
    <n v="2"/>
    <n v="0"/>
    <n v="0"/>
  </r>
  <r>
    <d v="2026-05-07T00:00:00"/>
    <x v="1"/>
    <x v="0"/>
    <s v="Pikachus"/>
    <m/>
    <m/>
    <x v="2"/>
    <n v="5"/>
    <n v="2"/>
    <n v="0.4"/>
    <n v="4"/>
    <n v="11"/>
    <n v="0"/>
    <n v="0"/>
    <n v="4"/>
    <n v="2"/>
    <n v="1"/>
    <n v="0"/>
  </r>
  <r>
    <d v="2026-05-07T00:00:00"/>
    <x v="1"/>
    <x v="2"/>
    <s v="Big Dawgs"/>
    <m/>
    <m/>
    <x v="2"/>
    <n v="4"/>
    <n v="1"/>
    <n v="0.25"/>
    <n v="2"/>
    <n v="3"/>
    <n v="0"/>
    <n v="0"/>
    <n v="5"/>
    <n v="3"/>
    <n v="1"/>
    <n v="0"/>
  </r>
  <r>
    <d v="2026-05-07T00:00:00"/>
    <x v="1"/>
    <x v="7"/>
    <s v="Big Dawgs"/>
    <m/>
    <m/>
    <x v="2"/>
    <n v="3"/>
    <n v="2"/>
    <n v="0.66666666666666663"/>
    <n v="4"/>
    <n v="0"/>
    <n v="0"/>
    <n v="0"/>
    <n v="6"/>
    <n v="1"/>
    <n v="0"/>
    <n v="0"/>
  </r>
  <r>
    <d v="2026-05-07T00:00:00"/>
    <x v="1"/>
    <x v="5"/>
    <s v="Big Dawgs"/>
    <m/>
    <m/>
    <x v="2"/>
    <n v="3"/>
    <n v="1"/>
    <n v="0.33333333333333331"/>
    <n v="14"/>
    <n v="9"/>
    <n v="4"/>
    <n v="0.44444444444444442"/>
    <n v="5"/>
    <n v="3"/>
    <n v="4"/>
    <n v="2"/>
  </r>
  <r>
    <d v="2026-05-07T00:00:00"/>
    <x v="1"/>
    <x v="1"/>
    <s v="Big Dawgs"/>
    <m/>
    <m/>
    <x v="2"/>
    <n v="9"/>
    <n v="2"/>
    <n v="0.22222222222222221"/>
    <n v="4"/>
    <n v="5"/>
    <n v="0"/>
    <n v="0"/>
    <n v="7"/>
    <n v="3"/>
    <n v="3"/>
    <n v="0"/>
  </r>
  <r>
    <d v="2026-05-14T00:00:00"/>
    <x v="1"/>
    <x v="4"/>
    <s v="Pikachus"/>
    <m/>
    <m/>
    <x v="0"/>
    <n v="9"/>
    <n v="1"/>
    <n v="0.1111111111111111"/>
    <n v="2"/>
    <n v="1"/>
    <n v="0"/>
    <n v="0"/>
    <n v="13"/>
    <n v="7"/>
    <n v="3"/>
    <n v="0"/>
  </r>
  <r>
    <d v="2026-05-14T00:00:00"/>
    <x v="1"/>
    <x v="3"/>
    <s v="Pikachus"/>
    <m/>
    <m/>
    <x v="0"/>
    <n v="5"/>
    <n v="3"/>
    <n v="0.6"/>
    <n v="6"/>
    <n v="1"/>
    <n v="0"/>
    <n v="0"/>
    <n v="10"/>
    <n v="3"/>
    <n v="1"/>
    <n v="0"/>
  </r>
  <r>
    <d v="2026-05-14T00:00:00"/>
    <x v="1"/>
    <x v="6"/>
    <s v="Pikachus"/>
    <m/>
    <m/>
    <x v="0"/>
    <n v="1"/>
    <n v="0"/>
    <n v="0"/>
    <n v="9"/>
    <n v="10"/>
    <n v="3"/>
    <n v="0.3"/>
    <n v="5"/>
    <n v="5"/>
    <n v="0"/>
    <n v="0"/>
  </r>
  <r>
    <d v="2026-05-14T00:00:00"/>
    <x v="1"/>
    <x v="0"/>
    <s v="Pikachus"/>
    <m/>
    <m/>
    <x v="0"/>
    <n v="4"/>
    <n v="0"/>
    <n v="0"/>
    <n v="9"/>
    <n v="11"/>
    <n v="3"/>
    <n v="0.27272727272727271"/>
    <n v="0"/>
    <n v="3"/>
    <n v="0"/>
    <n v="0"/>
  </r>
  <r>
    <d v="2026-05-14T00:00:00"/>
    <x v="1"/>
    <x v="2"/>
    <s v="Big Dawgs"/>
    <m/>
    <m/>
    <x v="0"/>
    <n v="6"/>
    <n v="0"/>
    <n v="0"/>
    <n v="0"/>
    <n v="1"/>
    <n v="0"/>
    <n v="0"/>
    <n v="3"/>
    <n v="3"/>
    <n v="2"/>
    <n v="0"/>
  </r>
  <r>
    <d v="2026-05-14T00:00:00"/>
    <x v="1"/>
    <x v="7"/>
    <s v="Big Dawgs"/>
    <m/>
    <m/>
    <x v="0"/>
    <n v="4"/>
    <n v="2"/>
    <n v="0.5"/>
    <n v="4"/>
    <n v="0"/>
    <n v="0"/>
    <n v="0"/>
    <n v="4"/>
    <n v="5"/>
    <n v="0"/>
    <n v="0"/>
  </r>
  <r>
    <d v="2026-05-14T00:00:00"/>
    <x v="1"/>
    <x v="5"/>
    <s v="Big Dawgs"/>
    <m/>
    <m/>
    <x v="0"/>
    <n v="6"/>
    <n v="2"/>
    <n v="0.33333333333333331"/>
    <n v="4"/>
    <n v="2"/>
    <n v="0"/>
    <n v="0"/>
    <n v="7"/>
    <n v="2"/>
    <n v="0"/>
    <n v="3"/>
  </r>
  <r>
    <d v="2026-05-14T00:00:00"/>
    <x v="1"/>
    <x v="1"/>
    <s v="Big Dawgs"/>
    <m/>
    <m/>
    <x v="0"/>
    <n v="8"/>
    <n v="1"/>
    <n v="0.125"/>
    <n v="2"/>
    <n v="3"/>
    <n v="0"/>
    <n v="0"/>
    <n v="9"/>
    <n v="1"/>
    <n v="1"/>
    <n v="1"/>
  </r>
  <r>
    <d v="2026-05-14T00:00:00"/>
    <x v="1"/>
    <x v="4"/>
    <s v="Pikachus"/>
    <m/>
    <m/>
    <x v="1"/>
    <n v="4"/>
    <n v="4"/>
    <n v="1"/>
    <n v="8"/>
    <n v="4"/>
    <n v="0"/>
    <n v="0"/>
    <n v="4"/>
    <n v="3"/>
    <n v="2"/>
    <n v="0"/>
  </r>
  <r>
    <d v="2026-05-14T00:00:00"/>
    <x v="1"/>
    <x v="3"/>
    <s v="Pikachus"/>
    <m/>
    <m/>
    <x v="1"/>
    <n v="5"/>
    <n v="1"/>
    <n v="0.2"/>
    <n v="2"/>
    <n v="1"/>
    <n v="0"/>
    <n v="0"/>
    <n v="15"/>
    <n v="1"/>
    <n v="3"/>
    <n v="0"/>
  </r>
  <r>
    <d v="2026-05-14T00:00:00"/>
    <x v="1"/>
    <x v="6"/>
    <s v="Pikachus"/>
    <m/>
    <m/>
    <x v="1"/>
    <n v="1"/>
    <n v="0"/>
    <n v="0"/>
    <n v="6"/>
    <n v="12"/>
    <n v="2"/>
    <n v="0.16666666666666666"/>
    <n v="4"/>
    <n v="3"/>
    <n v="1"/>
    <n v="0"/>
  </r>
  <r>
    <d v="2026-05-14T00:00:00"/>
    <x v="1"/>
    <x v="0"/>
    <s v="Pikachus"/>
    <m/>
    <m/>
    <x v="1"/>
    <n v="2"/>
    <n v="0"/>
    <n v="0"/>
    <n v="6"/>
    <n v="7"/>
    <n v="2"/>
    <n v="0.2857142857142857"/>
    <n v="4"/>
    <n v="0"/>
    <n v="0"/>
    <n v="0"/>
  </r>
  <r>
    <d v="2026-05-14T00:00:00"/>
    <x v="1"/>
    <x v="2"/>
    <s v="Big Dawgs"/>
    <m/>
    <m/>
    <x v="1"/>
    <n v="5"/>
    <n v="1"/>
    <n v="0.2"/>
    <n v="2"/>
    <n v="0"/>
    <n v="0"/>
    <n v="0"/>
    <n v="0"/>
    <n v="5"/>
    <n v="3"/>
    <n v="0"/>
  </r>
  <r>
    <d v="2026-05-14T00:00:00"/>
    <x v="1"/>
    <x v="7"/>
    <s v="Big Dawgs"/>
    <m/>
    <m/>
    <x v="1"/>
    <n v="3"/>
    <n v="1"/>
    <n v="0.33333333333333331"/>
    <n v="2"/>
    <n v="0"/>
    <n v="0"/>
    <n v="0"/>
    <n v="3"/>
    <n v="0"/>
    <n v="1"/>
    <n v="0"/>
  </r>
  <r>
    <d v="2026-05-14T00:00:00"/>
    <x v="1"/>
    <x v="5"/>
    <s v="Big Dawgs"/>
    <m/>
    <m/>
    <x v="1"/>
    <n v="8"/>
    <n v="5"/>
    <n v="0.625"/>
    <n v="13"/>
    <n v="3"/>
    <n v="1"/>
    <n v="0.33333333333333331"/>
    <n v="7"/>
    <n v="1"/>
    <n v="3"/>
    <n v="0"/>
  </r>
  <r>
    <d v="2026-05-14T00:00:00"/>
    <x v="1"/>
    <x v="1"/>
    <s v="Big Dawgs"/>
    <m/>
    <m/>
    <x v="1"/>
    <n v="14"/>
    <n v="2"/>
    <n v="0.14285714285714285"/>
    <n v="7"/>
    <n v="4"/>
    <n v="1"/>
    <n v="0.25"/>
    <n v="8"/>
    <n v="0"/>
    <n v="1"/>
    <n v="0"/>
  </r>
  <r>
    <d v="2026-05-28T00:00:00"/>
    <x v="1"/>
    <x v="4"/>
    <s v="Pikachus"/>
    <m/>
    <m/>
    <x v="0"/>
    <n v="12"/>
    <n v="5"/>
    <n v="0.41666666666666669"/>
    <n v="10"/>
    <n v="0"/>
    <n v="0"/>
    <n v="0"/>
    <n v="17"/>
    <n v="5"/>
    <n v="0"/>
    <n v="0"/>
  </r>
  <r>
    <d v="2026-05-28T00:00:00"/>
    <x v="1"/>
    <x v="3"/>
    <s v="Pikachus"/>
    <m/>
    <m/>
    <x v="0"/>
    <n v="11"/>
    <n v="1"/>
    <n v="9.0909090909090912E-2"/>
    <n v="2"/>
    <n v="3"/>
    <n v="0"/>
    <n v="0"/>
    <n v="11"/>
    <n v="0"/>
    <n v="3"/>
    <n v="2"/>
  </r>
  <r>
    <d v="2026-05-28T00:00:00"/>
    <x v="1"/>
    <x v="6"/>
    <s v="Pikachus"/>
    <m/>
    <m/>
    <x v="0"/>
    <n v="3"/>
    <n v="0"/>
    <n v="0"/>
    <n v="9"/>
    <n v="8"/>
    <n v="3"/>
    <n v="0.375"/>
    <n v="3"/>
    <n v="4"/>
    <n v="0"/>
    <n v="0"/>
  </r>
  <r>
    <d v="2026-05-28T00:00:00"/>
    <x v="1"/>
    <x v="0"/>
    <s v="Pikachus"/>
    <m/>
    <m/>
    <x v="0"/>
    <n v="2"/>
    <n v="1"/>
    <n v="0.5"/>
    <n v="2"/>
    <n v="10"/>
    <n v="0"/>
    <n v="0"/>
    <n v="2"/>
    <n v="2"/>
    <n v="2"/>
    <n v="0"/>
  </r>
  <r>
    <d v="2026-05-28T00:00:00"/>
    <x v="1"/>
    <x v="2"/>
    <s v="Big Dawgs"/>
    <m/>
    <m/>
    <x v="0"/>
    <n v="6"/>
    <n v="1"/>
    <n v="0.16666666666666666"/>
    <n v="2"/>
    <n v="2"/>
    <n v="0"/>
    <n v="0"/>
    <n v="8"/>
    <n v="1"/>
    <n v="3"/>
    <n v="0"/>
  </r>
  <r>
    <d v="2026-05-28T00:00:00"/>
    <x v="1"/>
    <x v="7"/>
    <s v="Big Dawgs"/>
    <m/>
    <m/>
    <x v="0"/>
    <n v="7"/>
    <n v="1"/>
    <n v="0.14285714285714285"/>
    <n v="2"/>
    <n v="0"/>
    <n v="0"/>
    <n v="0"/>
    <n v="9"/>
    <n v="0"/>
    <n v="2"/>
    <n v="0"/>
  </r>
  <r>
    <d v="2026-05-28T00:00:00"/>
    <x v="1"/>
    <x v="5"/>
    <s v="Big Dawgs"/>
    <m/>
    <m/>
    <x v="0"/>
    <n v="5"/>
    <n v="1"/>
    <n v="0.2"/>
    <n v="2"/>
    <n v="6"/>
    <n v="0"/>
    <n v="0"/>
    <n v="4"/>
    <n v="1"/>
    <n v="3"/>
    <n v="0"/>
  </r>
  <r>
    <d v="2026-05-28T00:00:00"/>
    <x v="1"/>
    <x v="1"/>
    <s v="Big Dawgs"/>
    <m/>
    <m/>
    <x v="0"/>
    <n v="11"/>
    <n v="5"/>
    <n v="0.45454545454545453"/>
    <n v="13"/>
    <n v="3"/>
    <n v="1"/>
    <n v="0.33333333333333331"/>
    <n v="7"/>
    <n v="4"/>
    <n v="1"/>
    <n v="1"/>
  </r>
  <r>
    <d v="2026-05-28T00:00:00"/>
    <x v="1"/>
    <x v="4"/>
    <s v="Pikachus"/>
    <m/>
    <m/>
    <x v="1"/>
    <n v="5"/>
    <n v="2"/>
    <n v="0.4"/>
    <n v="4"/>
    <n v="1"/>
    <n v="0"/>
    <n v="0"/>
    <n v="6"/>
    <n v="7"/>
    <n v="1"/>
    <n v="0"/>
  </r>
  <r>
    <d v="2026-05-28T00:00:00"/>
    <x v="1"/>
    <x v="3"/>
    <s v="Pikachus"/>
    <m/>
    <m/>
    <x v="1"/>
    <n v="9"/>
    <n v="6"/>
    <n v="0.66666666666666663"/>
    <n v="12"/>
    <n v="4"/>
    <n v="0"/>
    <n v="0"/>
    <n v="8"/>
    <n v="1"/>
    <n v="1"/>
    <n v="1"/>
  </r>
  <r>
    <d v="2026-05-28T00:00:00"/>
    <x v="1"/>
    <x v="6"/>
    <s v="Pikachus"/>
    <m/>
    <m/>
    <x v="1"/>
    <n v="2"/>
    <n v="0"/>
    <n v="0"/>
    <n v="0"/>
    <n v="4"/>
    <n v="0"/>
    <n v="0"/>
    <n v="0"/>
    <n v="0"/>
    <n v="1"/>
    <n v="0"/>
  </r>
  <r>
    <d v="2026-05-28T00:00:00"/>
    <x v="1"/>
    <x v="0"/>
    <s v="Pikachus"/>
    <m/>
    <m/>
    <x v="1"/>
    <n v="1"/>
    <n v="0"/>
    <n v="0"/>
    <n v="3"/>
    <n v="6"/>
    <n v="1"/>
    <n v="0.16666666666666666"/>
    <n v="0"/>
    <n v="0"/>
    <n v="2"/>
    <n v="0"/>
  </r>
  <r>
    <d v="2026-05-28T00:00:00"/>
    <x v="1"/>
    <x v="2"/>
    <s v="Big Dawgs"/>
    <m/>
    <m/>
    <x v="1"/>
    <n v="3"/>
    <n v="0"/>
    <n v="0"/>
    <n v="0"/>
    <n v="1"/>
    <n v="0"/>
    <n v="0"/>
    <n v="4"/>
    <n v="2"/>
    <n v="4"/>
    <n v="0"/>
  </r>
  <r>
    <d v="2026-05-28T00:00:00"/>
    <x v="1"/>
    <x v="7"/>
    <s v="Big Dawgs"/>
    <m/>
    <m/>
    <x v="1"/>
    <n v="5"/>
    <n v="1"/>
    <n v="0.2"/>
    <n v="2"/>
    <n v="0"/>
    <n v="0"/>
    <n v="0"/>
    <n v="5"/>
    <n v="2"/>
    <n v="2"/>
    <n v="0"/>
  </r>
  <r>
    <d v="2026-05-28T00:00:00"/>
    <x v="1"/>
    <x v="5"/>
    <s v="Big Dawgs"/>
    <m/>
    <m/>
    <x v="1"/>
    <n v="4"/>
    <n v="2"/>
    <n v="0.5"/>
    <n v="10"/>
    <n v="5"/>
    <n v="2"/>
    <n v="0.4"/>
    <n v="4"/>
    <n v="3"/>
    <n v="1"/>
    <n v="0"/>
  </r>
  <r>
    <d v="2026-05-28T00:00:00"/>
    <x v="1"/>
    <x v="1"/>
    <s v="Big Dawgs"/>
    <m/>
    <m/>
    <x v="1"/>
    <n v="8"/>
    <n v="3"/>
    <n v="0.375"/>
    <n v="18"/>
    <n v="9"/>
    <n v="4"/>
    <n v="0.44444444444444442"/>
    <n v="10"/>
    <n v="1"/>
    <n v="2"/>
    <n v="0"/>
  </r>
  <r>
    <d v="2026-05-28T00:00:00"/>
    <x v="1"/>
    <x v="4"/>
    <s v="Pikachus"/>
    <m/>
    <m/>
    <x v="2"/>
    <n v="8"/>
    <n v="5"/>
    <n v="0.625"/>
    <n v="10"/>
    <n v="3"/>
    <n v="0"/>
    <n v="0"/>
    <n v="6"/>
    <n v="4"/>
    <n v="1"/>
    <n v="0"/>
  </r>
  <r>
    <d v="2026-05-28T00:00:00"/>
    <x v="1"/>
    <x v="3"/>
    <s v="Pikachus"/>
    <m/>
    <m/>
    <x v="2"/>
    <n v="5"/>
    <n v="1"/>
    <n v="0.2"/>
    <n v="2"/>
    <n v="4"/>
    <n v="0"/>
    <n v="0"/>
    <n v="8"/>
    <n v="0"/>
    <n v="1"/>
    <n v="2"/>
  </r>
  <r>
    <d v="2026-05-28T00:00:00"/>
    <x v="1"/>
    <x v="0"/>
    <s v="Pikachus"/>
    <m/>
    <m/>
    <x v="2"/>
    <n v="5"/>
    <n v="0"/>
    <n v="0"/>
    <n v="0"/>
    <n v="6"/>
    <n v="0"/>
    <n v="0"/>
    <n v="1"/>
    <n v="4"/>
    <n v="2"/>
    <n v="0"/>
  </r>
  <r>
    <d v="2026-05-28T00:00:00"/>
    <x v="1"/>
    <x v="2"/>
    <s v="Big Dawgs"/>
    <m/>
    <m/>
    <x v="2"/>
    <n v="3"/>
    <n v="1"/>
    <n v="0.33333333333333331"/>
    <n v="2"/>
    <n v="0"/>
    <n v="0"/>
    <n v="0"/>
    <n v="5"/>
    <n v="0"/>
    <n v="1"/>
    <n v="0"/>
  </r>
  <r>
    <d v="2026-05-28T00:00:00"/>
    <x v="1"/>
    <x v="7"/>
    <s v="Big Dawgs"/>
    <m/>
    <m/>
    <x v="2"/>
    <n v="1"/>
    <n v="0"/>
    <n v="0"/>
    <n v="0"/>
    <n v="0"/>
    <n v="0"/>
    <n v="0"/>
    <n v="1"/>
    <n v="0"/>
    <n v="1"/>
    <n v="1"/>
  </r>
  <r>
    <d v="2026-05-28T00:00:00"/>
    <x v="1"/>
    <x v="5"/>
    <s v="Big Dawgs"/>
    <m/>
    <m/>
    <x v="2"/>
    <n v="5"/>
    <n v="2"/>
    <n v="0.4"/>
    <n v="4"/>
    <n v="4"/>
    <n v="0"/>
    <n v="0"/>
    <n v="8"/>
    <n v="0"/>
    <n v="1"/>
    <n v="2"/>
  </r>
  <r>
    <d v="2026-05-28T00:00:00"/>
    <x v="1"/>
    <x v="1"/>
    <s v="Big Dawgs"/>
    <m/>
    <m/>
    <x v="2"/>
    <n v="6"/>
    <n v="3"/>
    <n v="0.5"/>
    <n v="9"/>
    <n v="8"/>
    <n v="1"/>
    <n v="0.125"/>
    <n v="7"/>
    <n v="2"/>
    <n v="1"/>
    <n v="1"/>
  </r>
  <r>
    <d v="2026-06-25T00:00:00"/>
    <x v="2"/>
    <x v="0"/>
    <s v="Bulls"/>
    <m/>
    <n v="1"/>
    <x v="0"/>
    <n v="4"/>
    <n v="0"/>
    <n v="0"/>
    <n v="3"/>
    <n v="6"/>
    <n v="1"/>
    <n v="0.16666666666666666"/>
    <n v="3"/>
    <n v="1"/>
    <n v="1"/>
    <n v="1"/>
  </r>
  <r>
    <d v="2026-06-25T00:00:00"/>
    <x v="2"/>
    <x v="2"/>
    <s v="Bulls"/>
    <m/>
    <n v="1"/>
    <x v="0"/>
    <n v="3"/>
    <n v="0"/>
    <n v="0"/>
    <n v="3"/>
    <n v="5"/>
    <n v="1"/>
    <n v="0.2"/>
    <n v="5"/>
    <n v="1"/>
    <n v="1"/>
    <n v="0"/>
  </r>
  <r>
    <d v="2026-06-25T00:00:00"/>
    <x v="2"/>
    <x v="7"/>
    <s v="Bulls"/>
    <m/>
    <n v="1"/>
    <x v="0"/>
    <n v="1"/>
    <n v="0"/>
    <n v="0"/>
    <n v="0"/>
    <n v="2"/>
    <n v="0"/>
    <n v="0"/>
    <n v="6"/>
    <n v="0"/>
    <n v="1"/>
    <n v="0"/>
  </r>
  <r>
    <d v="2026-06-25T00:00:00"/>
    <x v="2"/>
    <x v="4"/>
    <s v="Bulls"/>
    <m/>
    <n v="1"/>
    <x v="0"/>
    <n v="5"/>
    <n v="3"/>
    <n v="0.6"/>
    <n v="9"/>
    <n v="5"/>
    <n v="1"/>
    <n v="0.2"/>
    <n v="11"/>
    <n v="8"/>
    <n v="1"/>
    <n v="0"/>
  </r>
  <r>
    <d v="2026-06-25T00:00:00"/>
    <x v="2"/>
    <x v="5"/>
    <s v="Hornets"/>
    <m/>
    <n v="1"/>
    <x v="0"/>
    <n v="4"/>
    <n v="1"/>
    <n v="0.25"/>
    <n v="2"/>
    <n v="2"/>
    <n v="0"/>
    <n v="0"/>
    <n v="9"/>
    <n v="2"/>
    <n v="2"/>
    <n v="1"/>
  </r>
  <r>
    <d v="2026-06-25T00:00:00"/>
    <x v="2"/>
    <x v="6"/>
    <s v="Hornets"/>
    <m/>
    <n v="1"/>
    <x v="0"/>
    <n v="4"/>
    <n v="0"/>
    <n v="0"/>
    <n v="0"/>
    <n v="4"/>
    <n v="0"/>
    <n v="0"/>
    <n v="3"/>
    <n v="4"/>
    <n v="0"/>
    <n v="0"/>
  </r>
  <r>
    <d v="2026-06-25T00:00:00"/>
    <x v="2"/>
    <x v="3"/>
    <s v="Hornets"/>
    <m/>
    <n v="1"/>
    <x v="0"/>
    <n v="17"/>
    <n v="5"/>
    <n v="0.29411764705882354"/>
    <n v="10"/>
    <n v="0"/>
    <n v="0"/>
    <n v="0"/>
    <n v="13"/>
    <n v="0"/>
    <n v="1"/>
    <n v="1"/>
  </r>
  <r>
    <d v="2026-06-25T00:00:00"/>
    <x v="2"/>
    <x v="1"/>
    <s v="Hornets"/>
    <m/>
    <n v="1"/>
    <x v="0"/>
    <n v="9"/>
    <n v="1"/>
    <n v="0.1111111111111111"/>
    <n v="5"/>
    <n v="5"/>
    <n v="1"/>
    <n v="0.2"/>
    <n v="7"/>
    <n v="2"/>
    <n v="1"/>
    <n v="0"/>
  </r>
  <r>
    <d v="2026-06-25T00:00:00"/>
    <x v="2"/>
    <x v="0"/>
    <s v="Bulls"/>
    <m/>
    <n v="2"/>
    <x v="0"/>
    <n v="4"/>
    <n v="1"/>
    <n v="0.25"/>
    <n v="5"/>
    <n v="7"/>
    <n v="1"/>
    <n v="0.14285714285714285"/>
    <n v="0"/>
    <n v="0"/>
    <n v="0"/>
    <n v="0"/>
  </r>
  <r>
    <d v="2026-06-25T00:00:00"/>
    <x v="2"/>
    <x v="2"/>
    <s v="Bulls"/>
    <m/>
    <n v="2"/>
    <x v="0"/>
    <n v="5"/>
    <n v="0"/>
    <n v="0"/>
    <n v="0"/>
    <n v="4"/>
    <n v="0"/>
    <n v="0"/>
    <n v="3"/>
    <n v="2"/>
    <n v="2"/>
    <n v="0"/>
  </r>
  <r>
    <d v="2026-06-25T00:00:00"/>
    <x v="2"/>
    <x v="7"/>
    <s v="Bulls"/>
    <m/>
    <n v="2"/>
    <x v="0"/>
    <n v="4"/>
    <n v="1"/>
    <n v="0.25"/>
    <n v="2"/>
    <n v="0"/>
    <n v="0"/>
    <n v="0"/>
    <n v="6"/>
    <n v="1"/>
    <n v="2"/>
    <n v="0"/>
  </r>
  <r>
    <d v="2026-06-25T00:00:00"/>
    <x v="2"/>
    <x v="4"/>
    <s v="Bulls"/>
    <m/>
    <n v="2"/>
    <x v="0"/>
    <n v="7"/>
    <n v="3"/>
    <n v="0.42857142857142855"/>
    <n v="6"/>
    <n v="5"/>
    <n v="0"/>
    <n v="0"/>
    <n v="15"/>
    <n v="3"/>
    <n v="0"/>
    <n v="0"/>
  </r>
  <r>
    <d v="2026-06-25T00:00:00"/>
    <x v="2"/>
    <x v="5"/>
    <s v="Hornets"/>
    <m/>
    <n v="2"/>
    <x v="0"/>
    <n v="4"/>
    <n v="2"/>
    <n v="0.5"/>
    <n v="10"/>
    <n v="4"/>
    <n v="2"/>
    <n v="0.5"/>
    <n v="2"/>
    <n v="1"/>
    <n v="4"/>
    <n v="0"/>
  </r>
  <r>
    <d v="2026-06-25T00:00:00"/>
    <x v="2"/>
    <x v="6"/>
    <s v="Hornets"/>
    <m/>
    <n v="2"/>
    <x v="0"/>
    <n v="4"/>
    <n v="2"/>
    <n v="0.5"/>
    <n v="4"/>
    <n v="4"/>
    <n v="0"/>
    <n v="0"/>
    <n v="2"/>
    <n v="4"/>
    <n v="1"/>
    <n v="0"/>
  </r>
  <r>
    <d v="2026-06-25T00:00:00"/>
    <x v="2"/>
    <x v="3"/>
    <s v="Hornets"/>
    <m/>
    <n v="2"/>
    <x v="0"/>
    <n v="5"/>
    <n v="2"/>
    <n v="0.4"/>
    <n v="4"/>
    <n v="1"/>
    <n v="0"/>
    <n v="0"/>
    <n v="9"/>
    <n v="0"/>
    <n v="2"/>
    <n v="1"/>
  </r>
  <r>
    <d v="2026-06-25T00:00:00"/>
    <x v="2"/>
    <x v="1"/>
    <s v="Hornets"/>
    <m/>
    <n v="2"/>
    <x v="0"/>
    <n v="6"/>
    <n v="4"/>
    <n v="0.66666666666666663"/>
    <n v="5"/>
    <n v="3"/>
    <n v="0"/>
    <n v="0"/>
    <n v="3"/>
    <n v="2"/>
    <n v="2"/>
    <n v="0"/>
  </r>
  <r>
    <d v="2026-06-25T00:00:00"/>
    <x v="2"/>
    <x v="0"/>
    <s v="Bulls"/>
    <m/>
    <n v="3"/>
    <x v="0"/>
    <n v="5"/>
    <n v="1"/>
    <n v="0.2"/>
    <n v="2"/>
    <n v="5"/>
    <n v="0"/>
    <n v="0"/>
    <n v="2"/>
    <n v="2"/>
    <n v="1"/>
    <n v="0"/>
  </r>
  <r>
    <d v="2026-06-25T00:00:00"/>
    <x v="2"/>
    <x v="2"/>
    <s v="Bulls"/>
    <m/>
    <n v="3"/>
    <x v="0"/>
    <n v="4"/>
    <n v="2"/>
    <n v="0.5"/>
    <n v="4"/>
    <n v="1"/>
    <n v="0"/>
    <n v="0"/>
    <n v="5"/>
    <n v="3"/>
    <n v="4"/>
    <n v="0"/>
  </r>
  <r>
    <d v="2026-06-25T00:00:00"/>
    <x v="2"/>
    <x v="7"/>
    <s v="Bulls"/>
    <m/>
    <n v="3"/>
    <x v="0"/>
    <n v="2"/>
    <n v="1"/>
    <n v="0.5"/>
    <n v="2"/>
    <n v="0"/>
    <n v="0"/>
    <n v="0"/>
    <n v="3"/>
    <n v="0"/>
    <n v="4"/>
    <n v="0"/>
  </r>
  <r>
    <d v="2026-06-25T00:00:00"/>
    <x v="2"/>
    <x v="4"/>
    <s v="Bulls"/>
    <m/>
    <n v="3"/>
    <x v="0"/>
    <n v="9"/>
    <n v="6"/>
    <n v="0.66666666666666663"/>
    <n v="12"/>
    <n v="2"/>
    <n v="0"/>
    <n v="0"/>
    <n v="8"/>
    <n v="2"/>
    <n v="0"/>
    <n v="0"/>
  </r>
  <r>
    <d v="2026-06-25T00:00:00"/>
    <x v="2"/>
    <x v="5"/>
    <s v="Hornets"/>
    <m/>
    <n v="3"/>
    <x v="0"/>
    <n v="0"/>
    <n v="0"/>
    <n v="0"/>
    <n v="9"/>
    <n v="5"/>
    <n v="3"/>
    <n v="0.6"/>
    <n v="1"/>
    <n v="0"/>
    <n v="1"/>
    <n v="0"/>
  </r>
  <r>
    <d v="2026-06-25T00:00:00"/>
    <x v="2"/>
    <x v="6"/>
    <s v="Hornets"/>
    <m/>
    <n v="3"/>
    <x v="0"/>
    <n v="9"/>
    <n v="1"/>
    <n v="0.1111111111111111"/>
    <n v="2"/>
    <n v="0"/>
    <n v="0"/>
    <n v="0"/>
    <n v="1"/>
    <n v="1"/>
    <n v="1"/>
    <n v="0"/>
  </r>
  <r>
    <d v="2026-06-25T00:00:00"/>
    <x v="2"/>
    <x v="3"/>
    <s v="Hornets"/>
    <m/>
    <n v="3"/>
    <x v="0"/>
    <n v="2"/>
    <n v="2"/>
    <n v="1"/>
    <n v="4"/>
    <n v="1"/>
    <n v="0"/>
    <n v="0"/>
    <n v="4"/>
    <n v="0"/>
    <n v="0"/>
    <n v="1"/>
  </r>
  <r>
    <d v="2026-06-25T00:00:00"/>
    <x v="2"/>
    <x v="1"/>
    <s v="Hornets"/>
    <m/>
    <n v="3"/>
    <x v="0"/>
    <n v="4"/>
    <n v="2"/>
    <n v="0.5"/>
    <n v="4"/>
    <n v="1"/>
    <n v="0"/>
    <n v="0"/>
    <n v="5"/>
    <n v="4"/>
    <n v="4"/>
    <n v="0"/>
  </r>
  <r>
    <d v="2026-06-25T00:00:00"/>
    <x v="2"/>
    <x v="0"/>
    <s v="Bulls"/>
    <m/>
    <n v="4"/>
    <x v="0"/>
    <n v="3"/>
    <n v="0"/>
    <n v="0"/>
    <n v="3"/>
    <n v="10"/>
    <n v="1"/>
    <n v="0.1"/>
    <n v="2"/>
    <n v="4"/>
    <n v="0"/>
    <n v="0"/>
  </r>
  <r>
    <d v="2026-06-25T00:00:00"/>
    <x v="2"/>
    <x v="2"/>
    <s v="Bulls"/>
    <m/>
    <n v="4"/>
    <x v="0"/>
    <n v="2"/>
    <n v="0"/>
    <n v="0"/>
    <n v="0"/>
    <n v="0"/>
    <n v="0"/>
    <n v="0"/>
    <n v="1"/>
    <n v="2"/>
    <n v="4"/>
    <n v="0"/>
  </r>
  <r>
    <d v="2026-06-25T00:00:00"/>
    <x v="2"/>
    <x v="7"/>
    <s v="Bulls"/>
    <m/>
    <n v="4"/>
    <x v="0"/>
    <n v="8"/>
    <n v="4"/>
    <n v="0.5"/>
    <n v="8"/>
    <n v="0"/>
    <n v="0"/>
    <n v="0"/>
    <n v="5"/>
    <n v="1"/>
    <n v="2"/>
    <n v="0"/>
  </r>
  <r>
    <d v="2026-06-25T00:00:00"/>
    <x v="2"/>
    <x v="4"/>
    <s v="Bulls"/>
    <m/>
    <n v="4"/>
    <x v="0"/>
    <n v="7"/>
    <n v="3"/>
    <n v="0.42857142857142855"/>
    <n v="6"/>
    <n v="2"/>
    <n v="0"/>
    <n v="0"/>
    <n v="10"/>
    <n v="2"/>
    <n v="1"/>
    <n v="0"/>
  </r>
  <r>
    <d v="2026-06-25T00:00:00"/>
    <x v="2"/>
    <x v="5"/>
    <s v="Hornets"/>
    <m/>
    <n v="4"/>
    <x v="0"/>
    <n v="5"/>
    <n v="3"/>
    <n v="0.6"/>
    <n v="6"/>
    <n v="2"/>
    <n v="0"/>
    <n v="0"/>
    <n v="2"/>
    <n v="2"/>
    <n v="0"/>
    <n v="2"/>
  </r>
  <r>
    <d v="2026-06-25T00:00:00"/>
    <x v="2"/>
    <x v="6"/>
    <s v="Hornets"/>
    <m/>
    <n v="4"/>
    <x v="0"/>
    <n v="3"/>
    <n v="0"/>
    <n v="0"/>
    <n v="0"/>
    <n v="5"/>
    <n v="0"/>
    <n v="0"/>
    <n v="2"/>
    <n v="0"/>
    <n v="1"/>
    <n v="0"/>
  </r>
  <r>
    <d v="2026-06-25T00:00:00"/>
    <x v="2"/>
    <x v="3"/>
    <s v="Hornets"/>
    <m/>
    <n v="4"/>
    <x v="0"/>
    <n v="3"/>
    <n v="1"/>
    <n v="0.33333333333333331"/>
    <n v="2"/>
    <n v="0"/>
    <n v="0"/>
    <n v="0"/>
    <n v="6"/>
    <n v="0"/>
    <n v="1"/>
    <n v="1"/>
  </r>
  <r>
    <d v="2026-06-25T00:00:00"/>
    <x v="2"/>
    <x v="1"/>
    <s v="Hornets"/>
    <m/>
    <n v="4"/>
    <x v="0"/>
    <n v="4"/>
    <n v="3"/>
    <n v="0.75"/>
    <n v="6"/>
    <n v="3"/>
    <n v="0"/>
    <n v="0"/>
    <n v="5"/>
    <n v="4"/>
    <n v="2"/>
    <n v="0"/>
  </r>
  <r>
    <d v="2026-07-09T00:00:00"/>
    <x v="2"/>
    <x v="0"/>
    <s v="Bulls"/>
    <m/>
    <n v="1"/>
    <x v="1"/>
    <n v="1"/>
    <n v="0"/>
    <n v="0"/>
    <n v="6"/>
    <n v="7"/>
    <n v="2"/>
    <n v="0.2857142857142857"/>
    <n v="2"/>
    <n v="2"/>
    <n v="2"/>
    <n v="0"/>
  </r>
  <r>
    <d v="2026-07-09T00:00:00"/>
    <x v="2"/>
    <x v="2"/>
    <s v="Bulls"/>
    <m/>
    <n v="1"/>
    <x v="1"/>
    <n v="4"/>
    <n v="2"/>
    <n v="0.5"/>
    <n v="4"/>
    <n v="3"/>
    <n v="0"/>
    <n v="0"/>
    <n v="4"/>
    <n v="3"/>
    <n v="2"/>
    <n v="0"/>
  </r>
  <r>
    <d v="2026-07-09T00:00:00"/>
    <x v="2"/>
    <x v="4"/>
    <s v="Bulls"/>
    <m/>
    <n v="1"/>
    <x v="1"/>
    <n v="7"/>
    <n v="3"/>
    <n v="0.42857142857142855"/>
    <n v="9"/>
    <n v="2"/>
    <n v="1"/>
    <n v="0.5"/>
    <n v="7"/>
    <n v="4"/>
    <n v="2"/>
    <n v="0"/>
  </r>
  <r>
    <d v="2026-07-09T00:00:00"/>
    <x v="2"/>
    <x v="5"/>
    <s v="Hornets"/>
    <m/>
    <n v="1"/>
    <x v="1"/>
    <n v="4"/>
    <n v="1"/>
    <n v="0.25"/>
    <n v="2"/>
    <n v="1"/>
    <n v="0"/>
    <n v="0"/>
    <n v="4"/>
    <n v="2"/>
    <n v="3"/>
    <n v="0"/>
  </r>
  <r>
    <d v="2026-07-09T00:00:00"/>
    <x v="2"/>
    <x v="3"/>
    <s v="Hornets"/>
    <m/>
    <n v="1"/>
    <x v="1"/>
    <n v="4"/>
    <n v="1"/>
    <n v="0.25"/>
    <n v="2"/>
    <n v="1"/>
    <n v="0"/>
    <n v="0"/>
    <n v="4"/>
    <n v="2"/>
    <n v="2"/>
    <n v="1"/>
  </r>
  <r>
    <d v="2026-07-09T00:00:00"/>
    <x v="2"/>
    <x v="1"/>
    <s v="Hornets"/>
    <m/>
    <n v="1"/>
    <x v="1"/>
    <n v="9"/>
    <n v="4"/>
    <n v="0.44444444444444442"/>
    <n v="11"/>
    <n v="4"/>
    <n v="1"/>
    <n v="0.25"/>
    <n v="5"/>
    <n v="3"/>
    <n v="0"/>
    <n v="0"/>
  </r>
  <r>
    <d v="2026-07-09T00:00:00"/>
    <x v="2"/>
    <x v="0"/>
    <s v="Bulls"/>
    <m/>
    <n v="2"/>
    <x v="1"/>
    <n v="4"/>
    <n v="3"/>
    <n v="0.75"/>
    <n v="6"/>
    <n v="8"/>
    <n v="0"/>
    <n v="0"/>
    <n v="2"/>
    <n v="1"/>
    <n v="0"/>
    <n v="0"/>
  </r>
  <r>
    <d v="2026-07-09T00:00:00"/>
    <x v="2"/>
    <x v="2"/>
    <s v="Bulls"/>
    <m/>
    <n v="2"/>
    <x v="1"/>
    <n v="5"/>
    <n v="2"/>
    <n v="0.4"/>
    <n v="4"/>
    <n v="3"/>
    <n v="0"/>
    <n v="0"/>
    <n v="5"/>
    <n v="0"/>
    <n v="0"/>
    <n v="0"/>
  </r>
  <r>
    <d v="2026-07-09T00:00:00"/>
    <x v="2"/>
    <x v="4"/>
    <s v="Bulls"/>
    <m/>
    <n v="2"/>
    <x v="1"/>
    <n v="1"/>
    <n v="0"/>
    <n v="0"/>
    <n v="0"/>
    <n v="1"/>
    <n v="0"/>
    <n v="0"/>
    <n v="7"/>
    <n v="2"/>
    <n v="3"/>
    <n v="0"/>
  </r>
  <r>
    <d v="2026-07-09T00:00:00"/>
    <x v="2"/>
    <x v="5"/>
    <s v="Hornets"/>
    <m/>
    <n v="2"/>
    <x v="1"/>
    <n v="1"/>
    <n v="1"/>
    <n v="1"/>
    <n v="2"/>
    <n v="2"/>
    <n v="0"/>
    <n v="0"/>
    <n v="3"/>
    <n v="2"/>
    <n v="1"/>
    <n v="0"/>
  </r>
  <r>
    <d v="2026-07-09T00:00:00"/>
    <x v="2"/>
    <x v="3"/>
    <s v="Hornets"/>
    <m/>
    <n v="2"/>
    <x v="1"/>
    <n v="7"/>
    <n v="3"/>
    <n v="0.42857142857142855"/>
    <n v="6"/>
    <n v="0"/>
    <n v="0"/>
    <n v="0"/>
    <n v="7"/>
    <n v="0"/>
    <n v="0"/>
    <n v="0"/>
  </r>
  <r>
    <d v="2026-07-09T00:00:00"/>
    <x v="2"/>
    <x v="1"/>
    <s v="Hornets"/>
    <m/>
    <n v="2"/>
    <x v="1"/>
    <n v="3"/>
    <n v="0"/>
    <n v="0"/>
    <n v="3"/>
    <n v="5"/>
    <n v="1"/>
    <n v="0.2"/>
    <n v="1"/>
    <n v="2"/>
    <n v="1"/>
    <n v="0"/>
  </r>
  <r>
    <d v="2026-07-09T00:00:00"/>
    <x v="2"/>
    <x v="0"/>
    <s v="Bulls"/>
    <m/>
    <n v="3"/>
    <x v="1"/>
    <n v="5"/>
    <n v="1"/>
    <n v="0.2"/>
    <n v="8"/>
    <n v="7"/>
    <n v="2"/>
    <n v="0.2857142857142857"/>
    <n v="1"/>
    <n v="2"/>
    <n v="1"/>
    <n v="0"/>
  </r>
  <r>
    <d v="2026-07-09T00:00:00"/>
    <x v="2"/>
    <x v="2"/>
    <s v="Bulls"/>
    <m/>
    <n v="3"/>
    <x v="1"/>
    <n v="6"/>
    <n v="0"/>
    <n v="0"/>
    <n v="0"/>
    <n v="4"/>
    <n v="0"/>
    <n v="0"/>
    <n v="3"/>
    <n v="2"/>
    <n v="2"/>
    <n v="0"/>
  </r>
  <r>
    <d v="2026-07-09T00:00:00"/>
    <x v="2"/>
    <x v="4"/>
    <s v="Bulls"/>
    <m/>
    <n v="3"/>
    <x v="1"/>
    <n v="5"/>
    <n v="4"/>
    <n v="0.8"/>
    <n v="14"/>
    <n v="2"/>
    <n v="2"/>
    <n v="1"/>
    <n v="11"/>
    <n v="3"/>
    <n v="1"/>
    <n v="0"/>
  </r>
  <r>
    <d v="2026-07-09T00:00:00"/>
    <x v="2"/>
    <x v="5"/>
    <s v="Hornets"/>
    <m/>
    <n v="3"/>
    <x v="1"/>
    <n v="3"/>
    <n v="0"/>
    <n v="0"/>
    <n v="0"/>
    <n v="1"/>
    <n v="0"/>
    <n v="0"/>
    <n v="3"/>
    <n v="0"/>
    <n v="3"/>
    <n v="1"/>
  </r>
  <r>
    <d v="2026-07-09T00:00:00"/>
    <x v="2"/>
    <x v="3"/>
    <s v="Hornets"/>
    <m/>
    <n v="3"/>
    <x v="1"/>
    <n v="6"/>
    <n v="4"/>
    <n v="0.66666666666666663"/>
    <n v="11"/>
    <n v="3"/>
    <n v="1"/>
    <n v="0.33333333333333331"/>
    <n v="8"/>
    <n v="2"/>
    <n v="0"/>
    <n v="1"/>
  </r>
  <r>
    <d v="2026-07-09T00:00:00"/>
    <x v="2"/>
    <x v="1"/>
    <s v="Hornets"/>
    <m/>
    <n v="3"/>
    <x v="1"/>
    <n v="2"/>
    <n v="1"/>
    <n v="0.5"/>
    <n v="8"/>
    <n v="9"/>
    <n v="2"/>
    <n v="0.22222222222222221"/>
    <n v="2"/>
    <n v="2"/>
    <n v="1"/>
    <n v="1"/>
  </r>
  <r>
    <d v="2026-07-09T00:00:00"/>
    <x v="2"/>
    <x v="0"/>
    <s v="Bulls"/>
    <m/>
    <n v="4"/>
    <x v="1"/>
    <n v="1"/>
    <n v="0"/>
    <n v="0"/>
    <n v="3"/>
    <n v="11"/>
    <n v="1"/>
    <n v="9.0909090909090912E-2"/>
    <n v="1"/>
    <n v="1"/>
    <n v="1"/>
    <n v="0"/>
  </r>
  <r>
    <d v="2026-07-09T00:00:00"/>
    <x v="2"/>
    <x v="2"/>
    <s v="Bulls"/>
    <m/>
    <n v="4"/>
    <x v="1"/>
    <n v="4"/>
    <n v="2"/>
    <n v="0.5"/>
    <n v="4"/>
    <n v="0"/>
    <n v="0"/>
    <n v="0"/>
    <n v="3"/>
    <n v="3"/>
    <n v="0"/>
    <n v="0"/>
  </r>
  <r>
    <d v="2026-07-09T00:00:00"/>
    <x v="2"/>
    <x v="4"/>
    <s v="Bulls"/>
    <m/>
    <n v="4"/>
    <x v="1"/>
    <n v="5"/>
    <n v="2"/>
    <n v="0.4"/>
    <n v="4"/>
    <n v="4"/>
    <n v="0"/>
    <n v="0"/>
    <n v="10"/>
    <n v="2"/>
    <n v="1"/>
    <n v="0"/>
  </r>
  <r>
    <d v="2026-07-09T00:00:00"/>
    <x v="2"/>
    <x v="5"/>
    <s v="Hornets"/>
    <m/>
    <n v="4"/>
    <x v="1"/>
    <n v="1"/>
    <n v="0"/>
    <n v="0"/>
    <n v="0"/>
    <n v="1"/>
    <n v="0"/>
    <n v="0"/>
    <n v="5"/>
    <n v="4"/>
    <n v="5"/>
    <n v="0"/>
  </r>
  <r>
    <d v="2026-07-09T00:00:00"/>
    <x v="2"/>
    <x v="3"/>
    <s v="Hornets"/>
    <m/>
    <n v="4"/>
    <x v="1"/>
    <n v="8"/>
    <n v="4"/>
    <n v="0.5"/>
    <n v="8"/>
    <n v="0"/>
    <n v="0"/>
    <n v="0"/>
    <n v="7"/>
    <n v="0"/>
    <n v="2"/>
    <n v="0"/>
  </r>
  <r>
    <d v="2026-07-09T00:00:00"/>
    <x v="2"/>
    <x v="1"/>
    <s v="Hornets"/>
    <m/>
    <n v="4"/>
    <x v="1"/>
    <n v="4"/>
    <n v="3"/>
    <n v="0.75"/>
    <n v="9"/>
    <n v="11"/>
    <n v="1"/>
    <n v="9.0909090909090912E-2"/>
    <n v="5"/>
    <n v="1"/>
    <n v="1"/>
    <n v="1"/>
  </r>
  <r>
    <d v="2026-07-23T00:00:00"/>
    <x v="2"/>
    <x v="0"/>
    <s v="Bulls"/>
    <m/>
    <n v="1"/>
    <x v="2"/>
    <n v="5"/>
    <n v="2"/>
    <n v="0.4"/>
    <n v="4"/>
    <n v="2"/>
    <n v="9"/>
    <n v="4.5"/>
    <n v="2"/>
    <n v="1"/>
    <n v="1"/>
    <n v="0"/>
  </r>
  <r>
    <d v="2026-07-23T00:00:00"/>
    <x v="2"/>
    <x v="2"/>
    <s v="Bulls"/>
    <m/>
    <n v="1"/>
    <x v="2"/>
    <n v="8"/>
    <n v="2"/>
    <n v="0.25"/>
    <n v="4"/>
    <n v="2"/>
    <n v="0"/>
    <n v="0"/>
    <n v="4"/>
    <n v="1"/>
    <n v="1"/>
    <n v="0"/>
  </r>
  <r>
    <d v="2026-07-23T00:00:00"/>
    <x v="2"/>
    <x v="7"/>
    <s v="Bulls"/>
    <m/>
    <n v="1"/>
    <x v="2"/>
    <n v="2"/>
    <n v="1"/>
    <n v="0.5"/>
    <n v="2"/>
    <n v="0"/>
    <n v="0"/>
    <n v="0"/>
    <n v="0"/>
    <n v="0"/>
    <n v="0"/>
    <n v="0"/>
  </r>
  <r>
    <d v="2026-07-23T00:00:00"/>
    <x v="2"/>
    <x v="4"/>
    <s v="Bulls"/>
    <m/>
    <n v="1"/>
    <x v="2"/>
    <n v="10"/>
    <n v="2"/>
    <n v="0.2"/>
    <n v="4"/>
    <n v="0"/>
    <n v="0"/>
    <n v="0"/>
    <n v="8"/>
    <n v="1"/>
    <n v="2"/>
    <n v="0"/>
  </r>
  <r>
    <d v="2026-07-23T00:00:00"/>
    <x v="2"/>
    <x v="5"/>
    <s v="Hornets"/>
    <m/>
    <n v="1"/>
    <x v="2"/>
    <n v="0"/>
    <n v="0"/>
    <n v="0"/>
    <n v="0"/>
    <n v="0"/>
    <n v="0"/>
    <n v="0"/>
    <n v="0"/>
    <n v="2"/>
    <n v="3"/>
    <n v="0"/>
  </r>
  <r>
    <d v="2026-07-23T00:00:00"/>
    <x v="2"/>
    <x v="6"/>
    <s v="Hornets"/>
    <m/>
    <n v="1"/>
    <x v="2"/>
    <n v="3"/>
    <n v="2"/>
    <n v="0.66666666666666663"/>
    <n v="4"/>
    <n v="1"/>
    <n v="0"/>
    <n v="0"/>
    <n v="0"/>
    <n v="1"/>
    <n v="0"/>
    <n v="0"/>
  </r>
  <r>
    <d v="2026-07-23T00:00:00"/>
    <x v="2"/>
    <x v="3"/>
    <s v="Hornets"/>
    <m/>
    <n v="1"/>
    <x v="2"/>
    <n v="4"/>
    <n v="3"/>
    <n v="0.75"/>
    <n v="6"/>
    <n v="1"/>
    <n v="0"/>
    <n v="0"/>
    <n v="4"/>
    <n v="1"/>
    <n v="0"/>
    <n v="3"/>
  </r>
  <r>
    <d v="2026-07-23T00:00:00"/>
    <x v="2"/>
    <x v="1"/>
    <s v="Hornets"/>
    <m/>
    <n v="1"/>
    <x v="2"/>
    <n v="6"/>
    <n v="3"/>
    <n v="0.5"/>
    <n v="6"/>
    <n v="2"/>
    <n v="0"/>
    <n v="0"/>
    <n v="4"/>
    <n v="0"/>
    <n v="2"/>
    <n v="1"/>
  </r>
  <r>
    <d v="2026-07-23T00:00:00"/>
    <x v="2"/>
    <x v="0"/>
    <s v="Bulls"/>
    <m/>
    <n v="2"/>
    <x v="2"/>
    <n v="1"/>
    <n v="0"/>
    <n v="0"/>
    <n v="9"/>
    <n v="9"/>
    <n v="3"/>
    <n v="0.33333333333333331"/>
    <n v="0"/>
    <n v="0"/>
    <n v="0"/>
    <n v="0"/>
  </r>
  <r>
    <d v="2026-07-23T00:00:00"/>
    <x v="2"/>
    <x v="2"/>
    <s v="Bulls"/>
    <m/>
    <n v="2"/>
    <x v="2"/>
    <n v="6"/>
    <n v="1"/>
    <n v="0.16666666666666666"/>
    <n v="2"/>
    <n v="1"/>
    <n v="0"/>
    <n v="0"/>
    <n v="4"/>
    <n v="1"/>
    <n v="0"/>
    <n v="0"/>
  </r>
  <r>
    <d v="2026-07-23T00:00:00"/>
    <x v="2"/>
    <x v="7"/>
    <s v="Bulls"/>
    <m/>
    <n v="2"/>
    <x v="2"/>
    <n v="4"/>
    <n v="2"/>
    <n v="0.5"/>
    <n v="4"/>
    <n v="0"/>
    <n v="0"/>
    <n v="0"/>
    <n v="1"/>
    <n v="0"/>
    <n v="2"/>
    <n v="0"/>
  </r>
  <r>
    <d v="2026-07-23T00:00:00"/>
    <x v="2"/>
    <x v="4"/>
    <s v="Bulls"/>
    <m/>
    <n v="2"/>
    <x v="2"/>
    <n v="7"/>
    <n v="3"/>
    <n v="0.42857142857142855"/>
    <n v="6"/>
    <n v="1"/>
    <n v="0"/>
    <n v="0"/>
    <n v="14"/>
    <n v="3"/>
    <n v="4"/>
    <n v="0"/>
  </r>
  <r>
    <d v="2026-07-23T00:00:00"/>
    <x v="2"/>
    <x v="5"/>
    <s v="Hornets"/>
    <m/>
    <n v="2"/>
    <x v="2"/>
    <n v="3"/>
    <n v="1"/>
    <n v="0.33333333333333331"/>
    <n v="2"/>
    <n v="0"/>
    <n v="0"/>
    <n v="0"/>
    <n v="2"/>
    <n v="0"/>
    <n v="1"/>
    <n v="0"/>
  </r>
  <r>
    <d v="2026-07-23T00:00:00"/>
    <x v="2"/>
    <x v="6"/>
    <s v="Hornets"/>
    <m/>
    <n v="2"/>
    <x v="2"/>
    <n v="6"/>
    <n v="1"/>
    <n v="0.16666666666666666"/>
    <n v="5"/>
    <n v="5"/>
    <n v="1"/>
    <n v="0.2"/>
    <n v="2"/>
    <n v="0"/>
    <n v="0"/>
    <n v="0"/>
  </r>
  <r>
    <d v="2026-07-23T00:00:00"/>
    <x v="2"/>
    <x v="3"/>
    <s v="Hornets"/>
    <m/>
    <n v="2"/>
    <x v="2"/>
    <n v="2"/>
    <n v="0"/>
    <n v="0"/>
    <n v="0"/>
    <n v="1"/>
    <n v="0"/>
    <n v="0"/>
    <n v="7"/>
    <n v="0"/>
    <n v="0"/>
    <n v="1"/>
  </r>
  <r>
    <d v="2026-07-23T00:00:00"/>
    <x v="2"/>
    <x v="1"/>
    <s v="Hornets"/>
    <m/>
    <n v="2"/>
    <x v="2"/>
    <n v="2"/>
    <n v="0"/>
    <n v="0"/>
    <n v="0"/>
    <n v="4"/>
    <n v="0"/>
    <n v="0"/>
    <n v="3"/>
    <n v="1"/>
    <n v="2"/>
    <n v="0"/>
  </r>
  <r>
    <d v="2026-07-23T00:00:00"/>
    <x v="2"/>
    <x v="0"/>
    <s v="Bulls"/>
    <m/>
    <n v="3"/>
    <x v="2"/>
    <n v="3"/>
    <n v="0"/>
    <n v="0"/>
    <n v="0"/>
    <n v="1"/>
    <n v="0"/>
    <n v="0"/>
    <n v="0"/>
    <n v="2"/>
    <n v="1"/>
    <n v="0"/>
  </r>
  <r>
    <d v="2026-07-23T00:00:00"/>
    <x v="2"/>
    <x v="2"/>
    <s v="Bulls"/>
    <m/>
    <n v="3"/>
    <x v="2"/>
    <n v="6"/>
    <n v="2"/>
    <n v="0.33333333333333331"/>
    <n v="7"/>
    <n v="6"/>
    <n v="1"/>
    <n v="0.16666666666666666"/>
    <n v="5"/>
    <n v="0"/>
    <n v="1"/>
    <n v="1"/>
  </r>
  <r>
    <d v="2026-07-23T00:00:00"/>
    <x v="2"/>
    <x v="7"/>
    <s v="Bulls"/>
    <m/>
    <n v="3"/>
    <x v="2"/>
    <n v="1"/>
    <n v="1"/>
    <n v="1"/>
    <n v="2"/>
    <n v="1"/>
    <n v="0"/>
    <n v="0"/>
    <n v="1"/>
    <n v="2"/>
    <n v="1"/>
    <n v="0"/>
  </r>
  <r>
    <d v="2026-07-23T00:00:00"/>
    <x v="2"/>
    <x v="4"/>
    <s v="Bulls"/>
    <m/>
    <n v="3"/>
    <x v="2"/>
    <n v="4"/>
    <n v="3"/>
    <n v="0.75"/>
    <n v="6"/>
    <n v="1"/>
    <n v="0"/>
    <n v="0"/>
    <n v="9"/>
    <n v="3"/>
    <n v="2"/>
    <n v="0"/>
  </r>
  <r>
    <d v="2026-07-23T00:00:00"/>
    <x v="2"/>
    <x v="5"/>
    <s v="Hornets"/>
    <m/>
    <n v="3"/>
    <x v="2"/>
    <n v="2"/>
    <n v="2"/>
    <n v="1"/>
    <n v="4"/>
    <n v="1"/>
    <n v="0"/>
    <n v="0"/>
    <n v="4"/>
    <n v="3"/>
    <n v="2"/>
    <n v="0"/>
  </r>
  <r>
    <d v="2026-07-23T00:00:00"/>
    <x v="2"/>
    <x v="6"/>
    <s v="Hornets"/>
    <m/>
    <n v="3"/>
    <x v="2"/>
    <n v="1"/>
    <n v="0"/>
    <n v="0"/>
    <n v="0"/>
    <n v="3"/>
    <n v="0"/>
    <n v="0"/>
    <n v="3"/>
    <n v="1"/>
    <n v="3"/>
    <n v="0"/>
  </r>
  <r>
    <d v="2026-07-23T00:00:00"/>
    <x v="2"/>
    <x v="3"/>
    <s v="Hornets"/>
    <m/>
    <n v="3"/>
    <x v="2"/>
    <n v="5"/>
    <n v="2"/>
    <n v="0.4"/>
    <n v="4"/>
    <n v="0"/>
    <n v="0"/>
    <n v="0"/>
    <n v="6"/>
    <n v="0"/>
    <n v="0"/>
    <n v="1"/>
  </r>
  <r>
    <d v="2026-07-23T00:00:00"/>
    <x v="2"/>
    <x v="1"/>
    <s v="Hornets"/>
    <m/>
    <n v="3"/>
    <x v="2"/>
    <n v="1"/>
    <n v="1"/>
    <n v="1"/>
    <n v="8"/>
    <n v="7"/>
    <n v="2"/>
    <n v="0.2857142857142857"/>
    <n v="4"/>
    <n v="1"/>
    <n v="2"/>
    <n v="1"/>
  </r>
  <r>
    <d v="2026-07-23T00:00:00"/>
    <x v="2"/>
    <x v="0"/>
    <s v="Bulls"/>
    <m/>
    <n v="4"/>
    <x v="2"/>
    <n v="2"/>
    <n v="2"/>
    <n v="1"/>
    <n v="7"/>
    <n v="7"/>
    <n v="1"/>
    <n v="0.14285714285714285"/>
    <n v="1"/>
    <n v="1"/>
    <n v="0"/>
    <n v="0"/>
  </r>
  <r>
    <d v="2026-07-23T00:00:00"/>
    <x v="2"/>
    <x v="2"/>
    <s v="Bulls"/>
    <m/>
    <n v="4"/>
    <x v="2"/>
    <n v="2"/>
    <n v="1"/>
    <n v="0.5"/>
    <n v="2"/>
    <n v="1"/>
    <n v="0"/>
    <n v="0"/>
    <n v="1"/>
    <n v="1"/>
    <n v="1"/>
    <n v="0"/>
  </r>
  <r>
    <d v="2026-07-23T00:00:00"/>
    <x v="2"/>
    <x v="7"/>
    <s v="Bulls"/>
    <m/>
    <n v="4"/>
    <x v="2"/>
    <n v="3"/>
    <n v="0"/>
    <n v="0"/>
    <n v="0"/>
    <n v="0"/>
    <n v="0"/>
    <n v="0"/>
    <n v="3"/>
    <n v="1"/>
    <n v="1"/>
    <n v="0"/>
  </r>
  <r>
    <d v="2026-07-23T00:00:00"/>
    <x v="2"/>
    <x v="4"/>
    <s v="Bulls"/>
    <m/>
    <n v="4"/>
    <x v="2"/>
    <n v="3"/>
    <n v="1"/>
    <n v="0.33333333333333331"/>
    <n v="2"/>
    <n v="0"/>
    <n v="0"/>
    <n v="0"/>
    <n v="7"/>
    <n v="3"/>
    <n v="1"/>
    <n v="0"/>
  </r>
  <r>
    <d v="2026-07-23T00:00:00"/>
    <x v="2"/>
    <x v="5"/>
    <s v="Hornets"/>
    <m/>
    <n v="4"/>
    <x v="2"/>
    <n v="2"/>
    <n v="2"/>
    <n v="1"/>
    <n v="4"/>
    <n v="1"/>
    <n v="0"/>
    <n v="0"/>
    <n v="2"/>
    <n v="1"/>
    <n v="3"/>
    <n v="0"/>
  </r>
  <r>
    <d v="2026-07-23T00:00:00"/>
    <x v="2"/>
    <x v="6"/>
    <s v="Hornets"/>
    <m/>
    <n v="4"/>
    <x v="2"/>
    <n v="1"/>
    <n v="0"/>
    <n v="0"/>
    <n v="0"/>
    <n v="2"/>
    <n v="0"/>
    <n v="0"/>
    <n v="0"/>
    <n v="2"/>
    <n v="3"/>
    <n v="0"/>
  </r>
  <r>
    <d v="2026-07-23T00:00:00"/>
    <x v="2"/>
    <x v="3"/>
    <s v="Hornets"/>
    <m/>
    <n v="4"/>
    <x v="2"/>
    <n v="5"/>
    <n v="2"/>
    <n v="0.4"/>
    <n v="7"/>
    <n v="1"/>
    <n v="1"/>
    <n v="1"/>
    <n v="3"/>
    <n v="1"/>
    <n v="1"/>
    <n v="1"/>
  </r>
  <r>
    <d v="2026-07-23T00:00:00"/>
    <x v="2"/>
    <x v="1"/>
    <s v="Hornets"/>
    <m/>
    <n v="4"/>
    <x v="2"/>
    <n v="0"/>
    <n v="0"/>
    <n v="0"/>
    <n v="12"/>
    <n v="7"/>
    <n v="4"/>
    <n v="0.5714285714285714"/>
    <n v="3"/>
    <n v="2"/>
    <n v="2"/>
    <n v="1"/>
  </r>
  <r>
    <d v="2026-07-23T00:00:00"/>
    <x v="2"/>
    <x v="0"/>
    <s v="Bulls"/>
    <m/>
    <n v="1"/>
    <x v="3"/>
    <n v="2"/>
    <n v="0"/>
    <n v="0"/>
    <n v="0"/>
    <n v="7"/>
    <n v="0"/>
    <n v="0"/>
    <n v="0"/>
    <n v="4"/>
    <n v="0"/>
    <n v="0"/>
  </r>
  <r>
    <d v="2026-07-23T00:00:00"/>
    <x v="2"/>
    <x v="2"/>
    <s v="Bulls"/>
    <m/>
    <n v="1"/>
    <x v="3"/>
    <n v="7"/>
    <n v="1"/>
    <n v="0.14285714285714285"/>
    <n v="2"/>
    <n v="1"/>
    <n v="0"/>
    <n v="0"/>
    <n v="5"/>
    <n v="1"/>
    <n v="1"/>
    <n v="0"/>
  </r>
  <r>
    <d v="2026-07-23T00:00:00"/>
    <x v="2"/>
    <x v="7"/>
    <s v="Bulls"/>
    <m/>
    <n v="1"/>
    <x v="3"/>
    <n v="3"/>
    <n v="0"/>
    <n v="0"/>
    <n v="0"/>
    <n v="3"/>
    <n v="0"/>
    <n v="0"/>
    <n v="1"/>
    <n v="1"/>
    <n v="0"/>
    <n v="0"/>
  </r>
  <r>
    <d v="2026-07-23T00:00:00"/>
    <x v="2"/>
    <x v="4"/>
    <s v="Bulls"/>
    <m/>
    <n v="1"/>
    <x v="3"/>
    <n v="3"/>
    <n v="2"/>
    <n v="0.66666666666666663"/>
    <n v="4"/>
    <n v="2"/>
    <n v="0"/>
    <n v="0"/>
    <n v="10"/>
    <n v="6"/>
    <n v="0"/>
    <n v="0"/>
  </r>
  <r>
    <d v="2026-07-23T00:00:00"/>
    <x v="2"/>
    <x v="5"/>
    <s v="Hornets"/>
    <m/>
    <n v="1"/>
    <x v="3"/>
    <n v="2"/>
    <n v="1"/>
    <n v="0.5"/>
    <n v="2"/>
    <n v="0"/>
    <n v="0"/>
    <n v="0"/>
    <n v="3"/>
    <n v="3"/>
    <n v="2"/>
    <n v="1"/>
  </r>
  <r>
    <d v="2026-07-23T00:00:00"/>
    <x v="2"/>
    <x v="6"/>
    <s v="Hornets"/>
    <m/>
    <n v="1"/>
    <x v="3"/>
    <n v="2"/>
    <n v="1"/>
    <n v="0.5"/>
    <n v="5"/>
    <n v="5"/>
    <n v="1"/>
    <n v="0.2"/>
    <n v="5"/>
    <n v="1"/>
    <n v="0"/>
    <n v="0"/>
  </r>
  <r>
    <d v="2026-07-23T00:00:00"/>
    <x v="2"/>
    <x v="3"/>
    <s v="Hornets"/>
    <m/>
    <n v="1"/>
    <x v="3"/>
    <n v="4"/>
    <n v="0"/>
    <n v="0"/>
    <n v="0"/>
    <n v="0"/>
    <n v="0"/>
    <n v="0"/>
    <n v="9"/>
    <n v="0"/>
    <n v="2"/>
    <n v="0"/>
  </r>
  <r>
    <d v="2026-07-23T00:00:00"/>
    <x v="2"/>
    <x v="1"/>
    <s v="Hornets"/>
    <m/>
    <n v="1"/>
    <x v="3"/>
    <n v="3"/>
    <n v="2"/>
    <n v="0.66666666666666663"/>
    <n v="10"/>
    <n v="7"/>
    <n v="2"/>
    <n v="0.2857142857142857"/>
    <n v="4"/>
    <n v="2"/>
    <n v="1"/>
    <n v="0"/>
  </r>
  <r>
    <d v="2026-07-23T00:00:00"/>
    <x v="2"/>
    <x v="0"/>
    <s v="Bulls"/>
    <m/>
    <n v="2"/>
    <x v="3"/>
    <n v="1"/>
    <n v="1"/>
    <n v="1"/>
    <n v="8"/>
    <n v="6"/>
    <n v="2"/>
    <n v="0.33333333333333331"/>
    <n v="0"/>
    <n v="0"/>
    <n v="0"/>
    <n v="0"/>
  </r>
  <r>
    <d v="2026-07-23T00:00:00"/>
    <x v="2"/>
    <x v="2"/>
    <s v="Bulls"/>
    <m/>
    <n v="2"/>
    <x v="3"/>
    <n v="4"/>
    <n v="1"/>
    <n v="0.25"/>
    <n v="2"/>
    <n v="1"/>
    <n v="0"/>
    <n v="0"/>
    <n v="3"/>
    <n v="4"/>
    <n v="4"/>
    <n v="0"/>
  </r>
  <r>
    <d v="2026-07-23T00:00:00"/>
    <x v="2"/>
    <x v="7"/>
    <s v="Bulls"/>
    <m/>
    <n v="2"/>
    <x v="3"/>
    <n v="4"/>
    <n v="1"/>
    <n v="0.25"/>
    <n v="2"/>
    <n v="0"/>
    <n v="0"/>
    <n v="0"/>
    <n v="3"/>
    <n v="2"/>
    <n v="1"/>
    <n v="0"/>
  </r>
  <r>
    <d v="2026-07-23T00:00:00"/>
    <x v="2"/>
    <x v="4"/>
    <s v="Bulls"/>
    <m/>
    <n v="2"/>
    <x v="3"/>
    <n v="3"/>
    <n v="1"/>
    <n v="0.33333333333333331"/>
    <n v="2"/>
    <n v="1"/>
    <n v="0"/>
    <n v="0"/>
    <n v="10"/>
    <n v="6"/>
    <n v="0"/>
    <n v="0"/>
  </r>
  <r>
    <d v="2026-07-23T00:00:00"/>
    <x v="2"/>
    <x v="5"/>
    <s v="Hornets"/>
    <m/>
    <n v="2"/>
    <x v="3"/>
    <n v="0"/>
    <n v="0"/>
    <n v="0"/>
    <n v="3"/>
    <n v="3"/>
    <n v="1"/>
    <n v="0.33333333333333331"/>
    <n v="0"/>
    <n v="3"/>
    <n v="0"/>
    <n v="0"/>
  </r>
  <r>
    <d v="2026-07-23T00:00:00"/>
    <x v="2"/>
    <x v="6"/>
    <s v="Hornets"/>
    <m/>
    <n v="2"/>
    <x v="3"/>
    <n v="2"/>
    <n v="0"/>
    <n v="0"/>
    <n v="0"/>
    <n v="1"/>
    <n v="0"/>
    <n v="0"/>
    <n v="1"/>
    <n v="0"/>
    <n v="0"/>
    <n v="0"/>
  </r>
  <r>
    <d v="2026-07-23T00:00:00"/>
    <x v="2"/>
    <x v="3"/>
    <s v="Hornets"/>
    <m/>
    <n v="2"/>
    <x v="3"/>
    <n v="5"/>
    <n v="1"/>
    <n v="0.2"/>
    <n v="2"/>
    <n v="0"/>
    <n v="0"/>
    <n v="0"/>
    <n v="6"/>
    <n v="0"/>
    <n v="0"/>
    <n v="0"/>
  </r>
  <r>
    <d v="2026-07-23T00:00:00"/>
    <x v="2"/>
    <x v="1"/>
    <s v="Hornets"/>
    <m/>
    <n v="2"/>
    <x v="3"/>
    <n v="1"/>
    <n v="0"/>
    <n v="0"/>
    <n v="0"/>
    <n v="1"/>
    <n v="0"/>
    <n v="0"/>
    <n v="1"/>
    <n v="3"/>
    <n v="1"/>
    <n v="0"/>
  </r>
  <r>
    <d v="2026-07-23T00:00:00"/>
    <x v="2"/>
    <x v="0"/>
    <s v="Bulls"/>
    <m/>
    <n v="3"/>
    <x v="3"/>
    <n v="3"/>
    <n v="1"/>
    <n v="0.33333333333333331"/>
    <n v="2"/>
    <n v="5"/>
    <n v="0"/>
    <n v="0"/>
    <n v="0"/>
    <n v="1"/>
    <n v="0"/>
    <n v="0"/>
  </r>
  <r>
    <d v="2026-07-23T00:00:00"/>
    <x v="2"/>
    <x v="2"/>
    <s v="Bulls"/>
    <m/>
    <n v="3"/>
    <x v="3"/>
    <n v="3"/>
    <n v="1"/>
    <n v="0.33333333333333331"/>
    <n v="2"/>
    <n v="0"/>
    <n v="0"/>
    <n v="0"/>
    <n v="5"/>
    <n v="2"/>
    <n v="1"/>
    <n v="0"/>
  </r>
  <r>
    <d v="2026-07-23T00:00:00"/>
    <x v="2"/>
    <x v="7"/>
    <s v="Bulls"/>
    <m/>
    <n v="3"/>
    <x v="3"/>
    <n v="2"/>
    <n v="1"/>
    <n v="0.5"/>
    <n v="2"/>
    <n v="0"/>
    <n v="0"/>
    <n v="0"/>
    <n v="2"/>
    <n v="0"/>
    <n v="1"/>
    <n v="0"/>
  </r>
  <r>
    <d v="2026-07-23T00:00:00"/>
    <x v="2"/>
    <x v="4"/>
    <s v="Bulls"/>
    <m/>
    <n v="3"/>
    <x v="3"/>
    <n v="9"/>
    <n v="3"/>
    <n v="0.33333333333333331"/>
    <n v="6"/>
    <n v="1"/>
    <n v="0"/>
    <n v="0"/>
    <n v="8"/>
    <n v="0"/>
    <n v="1"/>
    <n v="0"/>
  </r>
  <r>
    <d v="2026-07-23T00:00:00"/>
    <x v="2"/>
    <x v="5"/>
    <s v="Hornets"/>
    <m/>
    <n v="3"/>
    <x v="3"/>
    <n v="1"/>
    <n v="1"/>
    <n v="1"/>
    <n v="2"/>
    <n v="1"/>
    <n v="0"/>
    <n v="0"/>
    <n v="0"/>
    <n v="0"/>
    <n v="1"/>
    <n v="0"/>
  </r>
  <r>
    <d v="2026-07-23T00:00:00"/>
    <x v="2"/>
    <x v="6"/>
    <s v="Hornets"/>
    <m/>
    <n v="3"/>
    <x v="3"/>
    <n v="0"/>
    <n v="0"/>
    <n v="0"/>
    <n v="0"/>
    <n v="5"/>
    <n v="0"/>
    <n v="0"/>
    <n v="2"/>
    <n v="1"/>
    <n v="0"/>
    <n v="0"/>
  </r>
  <r>
    <d v="2026-07-23T00:00:00"/>
    <x v="2"/>
    <x v="3"/>
    <s v="Hornets"/>
    <m/>
    <n v="3"/>
    <x v="3"/>
    <n v="3"/>
    <n v="1"/>
    <n v="0.33333333333333331"/>
    <n v="2"/>
    <n v="0"/>
    <n v="0"/>
    <n v="0"/>
    <n v="6"/>
    <n v="0"/>
    <n v="0"/>
    <n v="0"/>
  </r>
  <r>
    <d v="2026-07-23T00:00:00"/>
    <x v="2"/>
    <x v="1"/>
    <s v="Hornets"/>
    <m/>
    <n v="3"/>
    <x v="3"/>
    <n v="2"/>
    <n v="0"/>
    <n v="0"/>
    <n v="0"/>
    <n v="1"/>
    <n v="0"/>
    <n v="0"/>
    <n v="2"/>
    <n v="1"/>
    <n v="1"/>
    <n v="0"/>
  </r>
  <r>
    <d v="2026-07-23T00:00:00"/>
    <x v="2"/>
    <x v="0"/>
    <s v="Bulls"/>
    <m/>
    <n v="4"/>
    <x v="3"/>
    <n v="3"/>
    <n v="2"/>
    <n v="0.66666666666666663"/>
    <n v="13"/>
    <n v="7"/>
    <n v="3"/>
    <n v="0.42857142857142855"/>
    <n v="2"/>
    <n v="0"/>
    <n v="2"/>
    <n v="0"/>
  </r>
  <r>
    <d v="2026-07-23T00:00:00"/>
    <x v="2"/>
    <x v="2"/>
    <s v="Bulls"/>
    <m/>
    <n v="4"/>
    <x v="3"/>
    <n v="6"/>
    <n v="3"/>
    <n v="0.5"/>
    <n v="6"/>
    <n v="0"/>
    <n v="0"/>
    <n v="0"/>
    <n v="4"/>
    <n v="2"/>
    <n v="3"/>
    <n v="0"/>
  </r>
  <r>
    <d v="2026-07-23T00:00:00"/>
    <x v="2"/>
    <x v="7"/>
    <s v="Bulls"/>
    <m/>
    <n v="4"/>
    <x v="3"/>
    <n v="0"/>
    <n v="0"/>
    <n v="0"/>
    <n v="0"/>
    <n v="2"/>
    <n v="0"/>
    <n v="0"/>
    <n v="0"/>
    <n v="1"/>
    <n v="0"/>
    <n v="0"/>
  </r>
  <r>
    <d v="2026-07-23T00:00:00"/>
    <x v="2"/>
    <x v="4"/>
    <s v="Bulls"/>
    <m/>
    <n v="4"/>
    <x v="3"/>
    <n v="3"/>
    <n v="2"/>
    <n v="0.66666666666666663"/>
    <n v="2"/>
    <n v="1"/>
    <n v="0"/>
    <n v="0"/>
    <n v="5"/>
    <n v="4"/>
    <n v="3"/>
    <n v="0"/>
  </r>
  <r>
    <d v="2026-07-23T00:00:00"/>
    <x v="2"/>
    <x v="5"/>
    <s v="Hornets"/>
    <m/>
    <n v="4"/>
    <x v="3"/>
    <n v="1"/>
    <n v="1"/>
    <n v="1"/>
    <n v="2"/>
    <n v="0"/>
    <n v="0"/>
    <n v="0"/>
    <n v="1"/>
    <n v="2"/>
    <n v="3"/>
    <n v="1"/>
  </r>
  <r>
    <d v="2026-07-23T00:00:00"/>
    <x v="2"/>
    <x v="6"/>
    <s v="Hornets"/>
    <m/>
    <n v="4"/>
    <x v="3"/>
    <n v="3"/>
    <n v="0"/>
    <n v="0"/>
    <n v="12"/>
    <n v="6"/>
    <n v="4"/>
    <n v="0.66666666666666663"/>
    <n v="2"/>
    <n v="2"/>
    <n v="1"/>
    <n v="0"/>
  </r>
  <r>
    <d v="2026-07-23T00:00:00"/>
    <x v="2"/>
    <x v="3"/>
    <s v="Hornets"/>
    <m/>
    <n v="4"/>
    <x v="3"/>
    <n v="8"/>
    <n v="3"/>
    <n v="0.375"/>
    <n v="6"/>
    <n v="0"/>
    <n v="0"/>
    <n v="0"/>
    <n v="6"/>
    <n v="0"/>
    <n v="1"/>
    <n v="0"/>
  </r>
  <r>
    <d v="2026-07-23T00:00:00"/>
    <x v="2"/>
    <x v="1"/>
    <s v="Hornets"/>
    <m/>
    <n v="4"/>
    <x v="3"/>
    <n v="1"/>
    <n v="0"/>
    <n v="0"/>
    <n v="6"/>
    <n v="5"/>
    <n v="2"/>
    <n v="0.4"/>
    <n v="1"/>
    <n v="3"/>
    <n v="2"/>
    <n v="0"/>
  </r>
  <r>
    <m/>
    <x v="3"/>
    <x v="8"/>
    <m/>
    <m/>
    <m/>
    <x v="16"/>
    <m/>
    <m/>
    <n v="0"/>
    <m/>
    <m/>
    <m/>
    <n v="0"/>
    <m/>
    <m/>
    <m/>
    <m/>
  </r>
  <r>
    <m/>
    <x v="3"/>
    <x v="8"/>
    <m/>
    <m/>
    <m/>
    <x v="16"/>
    <m/>
    <m/>
    <n v="0"/>
    <m/>
    <m/>
    <m/>
    <n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81B94-2358-8746-9635-971C0FBB1521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I11" firstHeaderRow="0" firstDataRow="1" firstDataCol="1" rowPageCount="1" colPageCount="1"/>
  <pivotFields count="18">
    <pivotField compact="0" numFmtId="14" outline="0" showAll="0" defaultSubtotal="0"/>
    <pivotField axis="axisPage" compact="0" outline="0" multipleItemSelectionAllowed="1" showAll="0">
      <items count="5">
        <item h="1" x="0"/>
        <item h="1" x="1"/>
        <item x="2"/>
        <item h="1" x="3"/>
        <item t="default"/>
      </items>
    </pivotField>
    <pivotField axis="axisRow" compact="0" outline="0" showAll="0" defaultSubtotal="0">
      <items count="9">
        <item x="0"/>
        <item x="2"/>
        <item x="1"/>
        <item x="7"/>
        <item x="6"/>
        <item x="5"/>
        <item x="3"/>
        <item x="4"/>
        <item x="8"/>
      </items>
    </pivotField>
    <pivotField compact="0" outline="0" showAll="0" defaultSubtotal="0"/>
    <pivotField compact="0" outline="0" showAll="0"/>
    <pivotField compact="0" outline="0" showAll="0"/>
    <pivotField compact="0" numFmtId="1" outline="0" showAll="0" defaultSubtotal="0"/>
    <pivotField dataField="1" compact="0" outline="0" showAll="0"/>
    <pivotField dataField="1" compact="0" outline="0" showAll="0"/>
    <pivotField compact="0" numFmtId="9" outline="0" showAll="0"/>
    <pivotField dataField="1" compact="0" numFmtId="1" outline="0" showAll="0" defaultSubtotal="0"/>
    <pivotField compact="0" outline="0" showAll="0"/>
    <pivotField dataField="1" compact="0" numFmtId="1" outline="0" showAll="0" defaultSubtotal="0"/>
    <pivotField compact="0" numFmtId="164" outline="0" showAll="0"/>
    <pivotField dataField="1" compact="0" numFmtId="1" outline="0" showAll="0" defaultSubtotal="0"/>
    <pivotField dataField="1" compact="0" numFmtId="1" outline="0" showAll="0" defaultSubtotal="0"/>
    <pivotField dataField="1" compact="0" numFmtId="1" outline="0" showAll="0" defaultSubtotal="0"/>
    <pivotField dataField="1" compact="0" numFmtId="1" outline="0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1" hier="-1"/>
  </pageFields>
  <dataFields count="8">
    <dataField name="Sum of Block" fld="17" baseField="0" baseItem="0" numFmtId="1"/>
    <dataField name="Sum of Asst" fld="16" baseField="0" baseItem="0" numFmtId="1"/>
    <dataField name="Sum of Steal" fld="15" baseField="0" baseItem="0" numFmtId="1"/>
    <dataField name="Sum of Rebound" fld="14" baseField="0" baseItem="0" numFmtId="1"/>
    <dataField name="Sum of 3 pts" fld="12" baseField="0" baseItem="0" numFmtId="1"/>
    <dataField name="Sum of Points" fld="10" baseField="0" baseItem="0" numFmtId="1"/>
    <dataField name="Sum of 2pt FGatt" fld="7" baseField="0" baseItem="0"/>
    <dataField name="Sum of 2pt FGM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B7EEC-B91E-9545-BE72-06941EDD60AF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A17:G27" firstHeaderRow="1" firstDataRow="3" firstDataCol="1" rowPageCount="1" colPageCount="1"/>
  <pivotFields count="18"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showAll="0" defaultSubtotal="0">
      <items count="4">
        <item h="1" x="0"/>
        <item h="1" x="1"/>
        <item x="2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defaultSubtotal="0">
      <items count="9">
        <item x="0"/>
        <item x="2"/>
        <item x="1"/>
        <item x="7"/>
        <item x="6"/>
        <item x="5"/>
        <item x="3"/>
        <item x="4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multipleItemSelectionAllowed="1" showAll="0" defaultSubtotal="0">
      <items count="17">
        <item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1"/>
    <field x="-2"/>
  </colFields>
  <colItems count="6">
    <i>
      <x v="2"/>
      <x/>
    </i>
    <i r="1" i="1">
      <x v="1"/>
    </i>
    <i r="1" i="2">
      <x v="2"/>
    </i>
    <i r="1" i="3">
      <x v="3"/>
    </i>
    <i r="1" i="4">
      <x v="4"/>
    </i>
    <i r="1" i="5">
      <x v="5"/>
    </i>
  </colItems>
  <pageFields count="1">
    <pageField fld="6" hier="-1"/>
  </pageFields>
  <dataFields count="6">
    <dataField name="Sum of Points" fld="10" baseField="0" baseItem="0"/>
    <dataField name="Sum of Rebound" fld="14" baseField="0" baseItem="0"/>
    <dataField name="Sum of Asst" fld="16" baseField="0" baseItem="0"/>
    <dataField name="Sum of Steal" fld="15" baseField="0" baseItem="0"/>
    <dataField name="Sum of Block" fld="17" baseField="0" baseItem="0"/>
    <dataField name="Sum of 3 pt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4CCFA-CC44-824B-93DA-189CAE68D533}" name="Table1" displayName="Table1" ref="A1:R382" totalsRowCount="1">
  <autoFilter ref="A1:R381" xr:uid="{ED54CCFA-CC44-824B-93DA-189CAE68D533}"/>
  <sortState xmlns:xlrd2="http://schemas.microsoft.com/office/spreadsheetml/2017/richdata2" ref="A2:R203">
    <sortCondition ref="C1:C203"/>
  </sortState>
  <tableColumns count="18">
    <tableColumn id="1" xr3:uid="{943AD8F2-681A-6B4E-8026-7060E93F8AE8}" name="Date" totalsRowLabel="Total" dataDxfId="29" totalsRowDxfId="28"/>
    <tableColumn id="17" xr3:uid="{0008683A-81F4-AB4A-985D-6A70948544A4}" name="SEASON " dataDxfId="27" totalsRowDxfId="26"/>
    <tableColumn id="2" xr3:uid="{CAC9A63E-B628-F34E-BD2A-6BE656E74629}" name="Player"/>
    <tableColumn id="10" xr3:uid="{DEF531F6-0541-A44B-AA05-B1EE11BDED76}" name="Team"/>
    <tableColumn id="11" xr3:uid="{054B3FAD-0064-1C47-95BC-2B1B6E7D39DC}" name="# of Games"/>
    <tableColumn id="18" xr3:uid="{6AB8A8EF-EC51-9942-937C-671F36EAA6E8}" name="Quarter" dataDxfId="1" totalsRowDxfId="0"/>
    <tableColumn id="3" xr3:uid="{6988387E-B8C8-6D42-A972-87403AF221EA}" name="Game #" dataDxfId="3" totalsRowDxfId="2"/>
    <tableColumn id="13" xr3:uid="{82B6BCB9-C77E-BA4D-9643-5F7D48EBF117}" name="2pt FGatt" totalsRowFunction="sum" dataDxfId="25" totalsRowDxfId="24"/>
    <tableColumn id="14" xr3:uid="{920408D4-B998-AE49-A820-12D6637AEB2E}" name="2pt FGM" totalsRowFunction="sum" dataDxfId="23" totalsRowDxfId="22"/>
    <tableColumn id="16" xr3:uid="{DACF46B0-4C86-6349-BC32-BBAA32B7280D}" name="2 pt FG %" dataDxfId="21" totalsRowDxfId="20">
      <calculatedColumnFormula>IFERROR(Table1[[#This Row],[2pt FGM]]/Table1[[#This Row],[2pt FGatt]],0)</calculatedColumnFormula>
    </tableColumn>
    <tableColumn id="4" xr3:uid="{3ADE7181-7A80-6045-9294-8F1BA04903C4}" name="Points" totalsRowFunction="sum" dataDxfId="19" totalsRowDxfId="18"/>
    <tableColumn id="15" xr3:uid="{01EB1E05-DCF6-A84B-9DD5-34AD0DBCE1DD}" name="3pt att" dataDxfId="17" totalsRowDxfId="16"/>
    <tableColumn id="5" xr3:uid="{CAE86D69-4253-9748-A530-31AF7B7A8FDC}" name="3 pts" dataDxfId="15" totalsRowDxfId="14"/>
    <tableColumn id="12" xr3:uid="{AB8D228B-425B-CC4C-BDDF-9489D6329486}" name="3ptFG%" dataDxfId="13" totalsRowDxfId="12">
      <calculatedColumnFormula>IFERROR(Table1[[#This Row],[3 pts]]/Table1[[#This Row],[3pt att]],0)</calculatedColumnFormula>
    </tableColumn>
    <tableColumn id="6" xr3:uid="{A6C3772C-BAE6-0E40-9951-ED73E08CCF96}" name="Rebound" dataDxfId="11" totalsRowDxfId="10"/>
    <tableColumn id="7" xr3:uid="{8C2941E3-17D6-394B-A41D-6DB99EC994A3}" name="Steal" dataDxfId="9" totalsRowDxfId="8"/>
    <tableColumn id="9" xr3:uid="{CDF1AD6F-7E00-A042-A5DE-410D5C05CA10}" name="Asst" dataDxfId="7" totalsRowDxfId="6"/>
    <tableColumn id="8" xr3:uid="{680AE66D-11C4-EA4A-8C6F-D84CC38D7D2C}" name="Block" dataDxfId="5" totalsRow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6F6B-CA40-E342-9E55-C6C521307117}">
  <dimension ref="A1:S382"/>
  <sheetViews>
    <sheetView tabSelected="1" zoomScaleNormal="150" zoomScaleSheetLayoutView="100" workbookViewId="0">
      <pane ySplit="1" topLeftCell="A308" activePane="bottomLeft" state="frozen"/>
      <selection activeCell="B1" sqref="B1"/>
      <selection pane="bottomLeft" activeCell="F264" sqref="F264"/>
    </sheetView>
  </sheetViews>
  <sheetFormatPr defaultRowHeight="15" x14ac:dyDescent="0.2"/>
  <cols>
    <col min="1" max="1" width="10.35546875" style="1" bestFit="1" customWidth="1"/>
    <col min="2" max="2" width="10.35546875" style="6" customWidth="1"/>
    <col min="5" max="5" width="0" hidden="1" customWidth="1"/>
    <col min="6" max="6" width="9.68359375" style="11" bestFit="1" customWidth="1"/>
    <col min="7" max="8" width="9.68359375" style="2" customWidth="1"/>
    <col min="9" max="9" width="9.68359375" style="7" customWidth="1"/>
    <col min="10" max="10" width="8.7421875" style="2" bestFit="1" customWidth="1"/>
    <col min="11" max="11" width="8.7421875" style="2" customWidth="1"/>
    <col min="12" max="12" width="8.609375" style="2"/>
    <col min="13" max="13" width="8.609375" style="8"/>
    <col min="14" max="14" width="10.76171875" style="2" bestFit="1" customWidth="1"/>
    <col min="15" max="17" width="8.609375" style="2"/>
    <col min="19" max="19" width="10.35546875" bestFit="1" customWidth="1"/>
    <col min="20" max="20" width="11.43359375" bestFit="1" customWidth="1"/>
    <col min="21" max="21" width="11.703125" bestFit="1" customWidth="1"/>
    <col min="22" max="22" width="12.375" bestFit="1" customWidth="1"/>
    <col min="23" max="23" width="15.46875" bestFit="1" customWidth="1"/>
    <col min="24" max="24" width="12.10546875" bestFit="1" customWidth="1"/>
    <col min="25" max="25" width="10.89453125" bestFit="1" customWidth="1"/>
    <col min="26" max="26" width="10.35546875" bestFit="1" customWidth="1"/>
  </cols>
  <sheetData>
    <row r="1" spans="1:19" x14ac:dyDescent="0.2">
      <c r="A1" s="1" t="s">
        <v>0</v>
      </c>
      <c r="B1" s="6" t="s">
        <v>37</v>
      </c>
      <c r="C1" t="s">
        <v>1</v>
      </c>
      <c r="D1" t="s">
        <v>12</v>
      </c>
      <c r="E1" t="s">
        <v>26</v>
      </c>
      <c r="F1" s="6" t="s">
        <v>64</v>
      </c>
      <c r="G1" s="2" t="s">
        <v>2</v>
      </c>
      <c r="H1" s="2" t="s">
        <v>30</v>
      </c>
      <c r="I1" s="2" t="s">
        <v>28</v>
      </c>
      <c r="J1" s="7" t="s">
        <v>35</v>
      </c>
      <c r="K1" s="2" t="s">
        <v>3</v>
      </c>
      <c r="L1" s="2" t="s">
        <v>29</v>
      </c>
      <c r="M1" s="2" t="s">
        <v>8</v>
      </c>
      <c r="N1" s="8" t="s">
        <v>36</v>
      </c>
      <c r="O1" s="2" t="s">
        <v>4</v>
      </c>
      <c r="P1" s="2" t="s">
        <v>5</v>
      </c>
      <c r="Q1" s="2" t="s">
        <v>10</v>
      </c>
      <c r="R1" s="2" t="s">
        <v>6</v>
      </c>
    </row>
    <row r="2" spans="1:19" x14ac:dyDescent="0.2">
      <c r="A2" s="1">
        <v>45883</v>
      </c>
      <c r="B2" s="6">
        <v>1</v>
      </c>
      <c r="C2" t="s">
        <v>18</v>
      </c>
      <c r="D2" t="s">
        <v>14</v>
      </c>
      <c r="E2">
        <v>1</v>
      </c>
      <c r="F2" s="6"/>
      <c r="G2" s="4">
        <v>1</v>
      </c>
      <c r="H2" s="4"/>
      <c r="I2" s="4"/>
      <c r="J2" s="7"/>
      <c r="K2" s="4">
        <v>9</v>
      </c>
      <c r="L2" s="4"/>
      <c r="M2" s="4">
        <v>3</v>
      </c>
      <c r="N2" s="8"/>
      <c r="O2" s="4">
        <v>2</v>
      </c>
      <c r="P2" s="4">
        <v>3</v>
      </c>
      <c r="Q2" s="4">
        <v>1</v>
      </c>
      <c r="R2" s="4">
        <v>1</v>
      </c>
      <c r="S2" s="4"/>
    </row>
    <row r="3" spans="1:19" x14ac:dyDescent="0.2">
      <c r="A3" s="1">
        <v>45883</v>
      </c>
      <c r="B3" s="6">
        <v>1</v>
      </c>
      <c r="C3" t="s">
        <v>19</v>
      </c>
      <c r="D3" t="s">
        <v>14</v>
      </c>
      <c r="E3">
        <v>1</v>
      </c>
      <c r="F3" s="6"/>
      <c r="G3" s="4">
        <v>1</v>
      </c>
      <c r="H3" s="4"/>
      <c r="I3" s="4"/>
      <c r="J3" s="7"/>
      <c r="K3" s="4">
        <v>3</v>
      </c>
      <c r="L3" s="4"/>
      <c r="M3" s="4">
        <v>1</v>
      </c>
      <c r="N3" s="8"/>
      <c r="O3" s="4">
        <v>5</v>
      </c>
      <c r="P3" s="4">
        <v>3</v>
      </c>
      <c r="Q3" s="4">
        <v>6</v>
      </c>
      <c r="R3" s="4">
        <v>0</v>
      </c>
      <c r="S3" s="4"/>
    </row>
    <row r="4" spans="1:19" x14ac:dyDescent="0.2">
      <c r="A4" s="1">
        <v>45883</v>
      </c>
      <c r="B4" s="6">
        <v>1</v>
      </c>
      <c r="C4" t="s">
        <v>11</v>
      </c>
      <c r="D4" t="s">
        <v>14</v>
      </c>
      <c r="E4">
        <v>1</v>
      </c>
      <c r="F4" s="6"/>
      <c r="G4" s="4">
        <v>1</v>
      </c>
      <c r="H4" s="4"/>
      <c r="I4" s="4"/>
      <c r="J4" s="7"/>
      <c r="K4" s="4">
        <v>8</v>
      </c>
      <c r="L4" s="4"/>
      <c r="M4" s="4">
        <v>0</v>
      </c>
      <c r="N4" s="8"/>
      <c r="O4" s="4">
        <v>2</v>
      </c>
      <c r="P4" s="4">
        <v>3</v>
      </c>
      <c r="Q4" s="4">
        <v>1</v>
      </c>
      <c r="R4" s="4">
        <v>0</v>
      </c>
      <c r="S4" s="4"/>
    </row>
    <row r="5" spans="1:19" x14ac:dyDescent="0.2">
      <c r="A5" s="1">
        <v>45883</v>
      </c>
      <c r="B5" s="6">
        <v>1</v>
      </c>
      <c r="C5" t="s">
        <v>16</v>
      </c>
      <c r="D5" t="s">
        <v>14</v>
      </c>
      <c r="E5">
        <v>1</v>
      </c>
      <c r="F5" s="6"/>
      <c r="G5" s="4">
        <v>1</v>
      </c>
      <c r="H5" s="4"/>
      <c r="I5" s="4"/>
      <c r="J5" s="7"/>
      <c r="K5" s="4">
        <v>10</v>
      </c>
      <c r="L5" s="4"/>
      <c r="M5" s="4">
        <v>0</v>
      </c>
      <c r="N5" s="8"/>
      <c r="O5" s="4">
        <v>5</v>
      </c>
      <c r="P5" s="4">
        <v>2</v>
      </c>
      <c r="Q5" s="4">
        <v>2</v>
      </c>
      <c r="R5" s="4">
        <v>0</v>
      </c>
      <c r="S5" s="4"/>
    </row>
    <row r="6" spans="1:19" x14ac:dyDescent="0.2">
      <c r="A6" s="1">
        <v>45883</v>
      </c>
      <c r="B6" s="6">
        <v>1</v>
      </c>
      <c r="C6" t="s">
        <v>7</v>
      </c>
      <c r="D6" t="s">
        <v>13</v>
      </c>
      <c r="E6">
        <v>1</v>
      </c>
      <c r="F6" s="6"/>
      <c r="G6" s="4">
        <v>1</v>
      </c>
      <c r="H6" s="4"/>
      <c r="I6" s="4"/>
      <c r="J6" s="7"/>
      <c r="K6" s="4">
        <v>0</v>
      </c>
      <c r="L6" s="4"/>
      <c r="M6" s="4">
        <v>0</v>
      </c>
      <c r="N6" s="8"/>
      <c r="O6" s="4">
        <v>5</v>
      </c>
      <c r="P6" s="4">
        <v>10</v>
      </c>
      <c r="Q6" s="4">
        <v>5</v>
      </c>
      <c r="R6" s="4">
        <v>1</v>
      </c>
      <c r="S6" s="4"/>
    </row>
    <row r="7" spans="1:19" x14ac:dyDescent="0.2">
      <c r="A7" s="1">
        <v>45883</v>
      </c>
      <c r="B7" s="6">
        <v>1</v>
      </c>
      <c r="C7" t="s">
        <v>9</v>
      </c>
      <c r="D7" t="s">
        <v>13</v>
      </c>
      <c r="E7">
        <v>1</v>
      </c>
      <c r="F7" s="6"/>
      <c r="G7" s="4">
        <v>1</v>
      </c>
      <c r="H7" s="4"/>
      <c r="I7" s="4"/>
      <c r="J7" s="7"/>
      <c r="K7" s="4">
        <v>16</v>
      </c>
      <c r="L7" s="4"/>
      <c r="M7" s="4">
        <v>4</v>
      </c>
      <c r="N7" s="8"/>
      <c r="O7" s="4">
        <v>3</v>
      </c>
      <c r="P7" s="4">
        <v>2</v>
      </c>
      <c r="Q7" s="4">
        <v>1</v>
      </c>
      <c r="R7" s="4">
        <v>1</v>
      </c>
      <c r="S7" s="4"/>
    </row>
    <row r="8" spans="1:19" x14ac:dyDescent="0.2">
      <c r="A8" s="1">
        <v>45883</v>
      </c>
      <c r="B8" s="6">
        <v>1</v>
      </c>
      <c r="C8" t="s">
        <v>17</v>
      </c>
      <c r="D8" t="s">
        <v>13</v>
      </c>
      <c r="E8">
        <v>1</v>
      </c>
      <c r="F8" s="6"/>
      <c r="G8" s="4">
        <v>1</v>
      </c>
      <c r="H8" s="4"/>
      <c r="I8" s="4"/>
      <c r="J8" s="7"/>
      <c r="K8" s="4">
        <v>2</v>
      </c>
      <c r="L8" s="4"/>
      <c r="M8" s="4">
        <v>0</v>
      </c>
      <c r="N8" s="8"/>
      <c r="O8" s="4">
        <v>5</v>
      </c>
      <c r="P8" s="4">
        <v>1</v>
      </c>
      <c r="Q8" s="4">
        <v>0</v>
      </c>
      <c r="R8" s="4">
        <v>2</v>
      </c>
      <c r="S8" s="4"/>
    </row>
    <row r="9" spans="1:19" x14ac:dyDescent="0.2">
      <c r="A9" s="1">
        <v>45883</v>
      </c>
      <c r="B9" s="6">
        <v>1</v>
      </c>
      <c r="C9" t="s">
        <v>20</v>
      </c>
      <c r="D9" t="s">
        <v>13</v>
      </c>
      <c r="E9">
        <v>1</v>
      </c>
      <c r="F9" s="6"/>
      <c r="G9" s="4">
        <v>1</v>
      </c>
      <c r="H9" s="4"/>
      <c r="I9" s="4"/>
      <c r="J9" s="7"/>
      <c r="K9" s="4">
        <v>8</v>
      </c>
      <c r="L9" s="4"/>
      <c r="M9" s="4">
        <v>0</v>
      </c>
      <c r="N9" s="8"/>
      <c r="O9" s="4">
        <v>6</v>
      </c>
      <c r="P9" s="4">
        <v>4</v>
      </c>
      <c r="Q9" s="4">
        <v>2</v>
      </c>
      <c r="R9" s="4">
        <v>0</v>
      </c>
      <c r="S9" s="4"/>
    </row>
    <row r="10" spans="1:19" x14ac:dyDescent="0.2">
      <c r="A10" s="1">
        <v>45883</v>
      </c>
      <c r="B10" s="6">
        <v>1</v>
      </c>
      <c r="C10" t="s">
        <v>18</v>
      </c>
      <c r="D10" t="s">
        <v>14</v>
      </c>
      <c r="E10">
        <v>1</v>
      </c>
      <c r="F10" s="6"/>
      <c r="G10" s="4">
        <v>2</v>
      </c>
      <c r="H10" s="4"/>
      <c r="I10" s="4"/>
      <c r="J10" s="7"/>
      <c r="K10" s="4">
        <v>9</v>
      </c>
      <c r="L10" s="4"/>
      <c r="M10" s="4">
        <v>3</v>
      </c>
      <c r="N10" s="8"/>
      <c r="O10" s="4">
        <v>1</v>
      </c>
      <c r="P10" s="4">
        <v>4</v>
      </c>
      <c r="Q10" s="4">
        <v>2</v>
      </c>
      <c r="R10" s="4">
        <v>0</v>
      </c>
      <c r="S10" s="4"/>
    </row>
    <row r="11" spans="1:19" x14ac:dyDescent="0.2">
      <c r="A11" s="1">
        <v>45883</v>
      </c>
      <c r="B11" s="6">
        <v>1</v>
      </c>
      <c r="C11" t="s">
        <v>7</v>
      </c>
      <c r="D11" t="s">
        <v>13</v>
      </c>
      <c r="E11">
        <v>1</v>
      </c>
      <c r="F11" s="6"/>
      <c r="G11" s="4">
        <v>2</v>
      </c>
      <c r="H11" s="4"/>
      <c r="I11" s="4"/>
      <c r="J11" s="7"/>
      <c r="K11" s="4">
        <v>13</v>
      </c>
      <c r="L11" s="4"/>
      <c r="M11" s="4">
        <v>3</v>
      </c>
      <c r="N11" s="8"/>
      <c r="O11" s="4">
        <v>7</v>
      </c>
      <c r="P11" s="4">
        <v>7</v>
      </c>
      <c r="Q11" s="4">
        <v>4</v>
      </c>
      <c r="R11" s="4">
        <v>0</v>
      </c>
      <c r="S11" s="4"/>
    </row>
    <row r="12" spans="1:19" x14ac:dyDescent="0.2">
      <c r="A12" s="1">
        <v>45883</v>
      </c>
      <c r="B12" s="6">
        <v>1</v>
      </c>
      <c r="C12" t="s">
        <v>17</v>
      </c>
      <c r="D12" t="s">
        <v>13</v>
      </c>
      <c r="E12">
        <v>1</v>
      </c>
      <c r="F12" s="6"/>
      <c r="G12" s="4">
        <v>2</v>
      </c>
      <c r="H12" s="4"/>
      <c r="I12" s="4"/>
      <c r="J12" s="7"/>
      <c r="K12" s="4">
        <v>5</v>
      </c>
      <c r="L12" s="4"/>
      <c r="M12" s="4">
        <v>1</v>
      </c>
      <c r="N12" s="8"/>
      <c r="O12" s="4">
        <v>4</v>
      </c>
      <c r="P12" s="4">
        <v>4</v>
      </c>
      <c r="Q12" s="4">
        <v>2</v>
      </c>
      <c r="R12" s="4">
        <v>0</v>
      </c>
      <c r="S12" s="4"/>
    </row>
    <row r="13" spans="1:19" x14ac:dyDescent="0.2">
      <c r="A13" s="1">
        <v>45883</v>
      </c>
      <c r="B13" s="6">
        <v>1</v>
      </c>
      <c r="C13" t="s">
        <v>19</v>
      </c>
      <c r="D13" t="s">
        <v>14</v>
      </c>
      <c r="E13">
        <v>1</v>
      </c>
      <c r="F13" s="6"/>
      <c r="G13" s="4">
        <v>2</v>
      </c>
      <c r="H13" s="4"/>
      <c r="I13" s="4"/>
      <c r="J13" s="7"/>
      <c r="K13" s="4">
        <v>7</v>
      </c>
      <c r="L13" s="4"/>
      <c r="M13" s="4">
        <v>1</v>
      </c>
      <c r="N13" s="8"/>
      <c r="O13" s="4">
        <v>5</v>
      </c>
      <c r="P13" s="4">
        <v>1</v>
      </c>
      <c r="Q13" s="4">
        <v>2</v>
      </c>
      <c r="R13" s="4">
        <v>0</v>
      </c>
      <c r="S13" s="4"/>
    </row>
    <row r="14" spans="1:19" x14ac:dyDescent="0.2">
      <c r="A14" s="1">
        <v>45883</v>
      </c>
      <c r="B14" s="6">
        <v>1</v>
      </c>
      <c r="C14" t="s">
        <v>16</v>
      </c>
      <c r="D14" t="s">
        <v>14</v>
      </c>
      <c r="E14">
        <v>1</v>
      </c>
      <c r="F14" s="6"/>
      <c r="G14" s="4">
        <v>2</v>
      </c>
      <c r="H14" s="4"/>
      <c r="I14" s="4"/>
      <c r="J14" s="7"/>
      <c r="K14" s="4">
        <v>9</v>
      </c>
      <c r="L14" s="4"/>
      <c r="M14" s="4">
        <v>1</v>
      </c>
      <c r="N14" s="8"/>
      <c r="O14" s="4">
        <v>0</v>
      </c>
      <c r="P14" s="4">
        <v>2</v>
      </c>
      <c r="Q14" s="4">
        <v>2</v>
      </c>
      <c r="R14" s="4">
        <v>0</v>
      </c>
      <c r="S14" s="4"/>
    </row>
    <row r="15" spans="1:19" x14ac:dyDescent="0.2">
      <c r="A15" s="1">
        <v>45883</v>
      </c>
      <c r="B15" s="6">
        <v>1</v>
      </c>
      <c r="C15" t="s">
        <v>9</v>
      </c>
      <c r="D15" t="s">
        <v>13</v>
      </c>
      <c r="E15">
        <v>1</v>
      </c>
      <c r="F15" s="6"/>
      <c r="G15" s="4">
        <v>2</v>
      </c>
      <c r="H15" s="4"/>
      <c r="I15" s="4"/>
      <c r="J15" s="7"/>
      <c r="K15" s="4">
        <v>11</v>
      </c>
      <c r="L15" s="4"/>
      <c r="M15" s="4">
        <v>1</v>
      </c>
      <c r="N15" s="8"/>
      <c r="O15" s="4">
        <v>4</v>
      </c>
      <c r="P15" s="4">
        <v>4</v>
      </c>
      <c r="Q15" s="4">
        <v>6</v>
      </c>
      <c r="R15" s="4">
        <v>1</v>
      </c>
      <c r="S15" s="4"/>
    </row>
    <row r="16" spans="1:19" x14ac:dyDescent="0.2">
      <c r="A16" s="1">
        <v>45883</v>
      </c>
      <c r="B16" s="6">
        <v>1</v>
      </c>
      <c r="C16" t="s">
        <v>11</v>
      </c>
      <c r="D16" t="s">
        <v>14</v>
      </c>
      <c r="E16">
        <v>1</v>
      </c>
      <c r="F16" s="6"/>
      <c r="G16" s="4">
        <v>2</v>
      </c>
      <c r="H16" s="4"/>
      <c r="I16" s="4"/>
      <c r="J16" s="7"/>
      <c r="K16" s="4">
        <v>4</v>
      </c>
      <c r="L16" s="4"/>
      <c r="M16" s="4">
        <v>0</v>
      </c>
      <c r="N16" s="8"/>
      <c r="O16" s="4">
        <v>5</v>
      </c>
      <c r="P16" s="4">
        <v>4</v>
      </c>
      <c r="Q16" s="4">
        <v>1</v>
      </c>
      <c r="R16" s="4">
        <v>1</v>
      </c>
      <c r="S16" s="4"/>
    </row>
    <row r="17" spans="1:19" x14ac:dyDescent="0.2">
      <c r="A17" s="1">
        <v>45883</v>
      </c>
      <c r="B17" s="6">
        <v>1</v>
      </c>
      <c r="C17" t="s">
        <v>20</v>
      </c>
      <c r="D17" t="s">
        <v>13</v>
      </c>
      <c r="E17">
        <v>1</v>
      </c>
      <c r="F17" s="6"/>
      <c r="G17" s="4">
        <v>2</v>
      </c>
      <c r="H17" s="4"/>
      <c r="I17" s="4"/>
      <c r="J17" s="7"/>
      <c r="K17" s="4">
        <v>14</v>
      </c>
      <c r="L17" s="4"/>
      <c r="M17" s="4">
        <v>0</v>
      </c>
      <c r="N17" s="8"/>
      <c r="O17" s="4">
        <v>4</v>
      </c>
      <c r="P17" s="4">
        <v>3</v>
      </c>
      <c r="Q17" s="4">
        <v>1</v>
      </c>
      <c r="R17" s="4">
        <v>0</v>
      </c>
      <c r="S17" s="4"/>
    </row>
    <row r="18" spans="1:19" x14ac:dyDescent="0.2">
      <c r="A18" s="1">
        <v>45883</v>
      </c>
      <c r="B18" s="6">
        <v>1</v>
      </c>
      <c r="C18" t="s">
        <v>11</v>
      </c>
      <c r="D18" t="s">
        <v>14</v>
      </c>
      <c r="E18">
        <v>1</v>
      </c>
      <c r="F18" s="6"/>
      <c r="G18" s="4">
        <v>3</v>
      </c>
      <c r="H18" s="4"/>
      <c r="I18" s="4"/>
      <c r="J18" s="7"/>
      <c r="K18" s="4">
        <v>0</v>
      </c>
      <c r="L18" s="4"/>
      <c r="M18" s="4">
        <v>0</v>
      </c>
      <c r="N18" s="8"/>
      <c r="O18" s="4">
        <v>4</v>
      </c>
      <c r="P18" s="4">
        <v>1</v>
      </c>
      <c r="Q18" s="4">
        <v>1</v>
      </c>
      <c r="R18" s="4">
        <v>0</v>
      </c>
      <c r="S18" s="4"/>
    </row>
    <row r="19" spans="1:19" x14ac:dyDescent="0.2">
      <c r="A19" s="1">
        <v>45883</v>
      </c>
      <c r="B19" s="6">
        <v>1</v>
      </c>
      <c r="C19" t="s">
        <v>17</v>
      </c>
      <c r="D19" t="s">
        <v>13</v>
      </c>
      <c r="E19">
        <v>1</v>
      </c>
      <c r="F19" s="6"/>
      <c r="G19" s="4">
        <v>3</v>
      </c>
      <c r="H19" s="4"/>
      <c r="I19" s="4"/>
      <c r="J19" s="7"/>
      <c r="K19" s="4">
        <v>0</v>
      </c>
      <c r="L19" s="4"/>
      <c r="M19" s="4">
        <v>0</v>
      </c>
      <c r="N19" s="8"/>
      <c r="O19" s="4">
        <v>1</v>
      </c>
      <c r="P19" s="4">
        <v>2</v>
      </c>
      <c r="Q19" s="4">
        <v>0</v>
      </c>
      <c r="R19" s="4">
        <v>1</v>
      </c>
      <c r="S19" s="4"/>
    </row>
    <row r="20" spans="1:19" x14ac:dyDescent="0.2">
      <c r="A20" s="1">
        <v>45883</v>
      </c>
      <c r="B20" s="6">
        <v>1</v>
      </c>
      <c r="C20" t="s">
        <v>19</v>
      </c>
      <c r="D20" t="s">
        <v>14</v>
      </c>
      <c r="E20">
        <v>1</v>
      </c>
      <c r="F20" s="6"/>
      <c r="G20" s="4">
        <v>3</v>
      </c>
      <c r="H20" s="4"/>
      <c r="I20" s="4"/>
      <c r="J20" s="7"/>
      <c r="K20" s="4">
        <v>0</v>
      </c>
      <c r="L20" s="4"/>
      <c r="M20" s="4">
        <v>0</v>
      </c>
      <c r="N20" s="8"/>
      <c r="O20" s="4">
        <v>0</v>
      </c>
      <c r="P20" s="4">
        <v>1</v>
      </c>
      <c r="Q20" s="4">
        <v>0</v>
      </c>
      <c r="R20" s="4">
        <v>0</v>
      </c>
      <c r="S20" s="4"/>
    </row>
    <row r="21" spans="1:19" x14ac:dyDescent="0.2">
      <c r="A21" s="1">
        <v>45883</v>
      </c>
      <c r="B21" s="6">
        <v>1</v>
      </c>
      <c r="C21" t="s">
        <v>20</v>
      </c>
      <c r="D21" t="s">
        <v>13</v>
      </c>
      <c r="E21">
        <v>1</v>
      </c>
      <c r="F21" s="6"/>
      <c r="G21" s="4">
        <v>3</v>
      </c>
      <c r="H21" s="4"/>
      <c r="I21" s="4"/>
      <c r="J21" s="7"/>
      <c r="K21" s="4">
        <v>0</v>
      </c>
      <c r="L21" s="4"/>
      <c r="M21" s="4">
        <v>0</v>
      </c>
      <c r="N21" s="8"/>
      <c r="O21" s="4">
        <v>3</v>
      </c>
      <c r="P21" s="4">
        <v>0</v>
      </c>
      <c r="Q21" s="4">
        <v>1</v>
      </c>
      <c r="R21" s="4">
        <v>0</v>
      </c>
      <c r="S21" s="4"/>
    </row>
    <row r="22" spans="1:19" x14ac:dyDescent="0.2">
      <c r="A22" s="1">
        <v>45883</v>
      </c>
      <c r="B22" s="6">
        <v>1</v>
      </c>
      <c r="C22" t="s">
        <v>9</v>
      </c>
      <c r="D22" t="s">
        <v>13</v>
      </c>
      <c r="E22">
        <v>1</v>
      </c>
      <c r="F22" s="6"/>
      <c r="G22" s="4">
        <v>3</v>
      </c>
      <c r="H22" s="4"/>
      <c r="I22" s="4"/>
      <c r="J22" s="7"/>
      <c r="K22" s="4">
        <v>8</v>
      </c>
      <c r="L22" s="4"/>
      <c r="M22" s="4">
        <v>2</v>
      </c>
      <c r="N22" s="8"/>
      <c r="O22" s="4">
        <v>2</v>
      </c>
      <c r="P22" s="4">
        <v>0</v>
      </c>
      <c r="Q22" s="4">
        <v>0</v>
      </c>
      <c r="R22" s="4">
        <v>2</v>
      </c>
      <c r="S22" s="4"/>
    </row>
    <row r="23" spans="1:19" x14ac:dyDescent="0.2">
      <c r="A23" s="1">
        <v>45883</v>
      </c>
      <c r="B23" s="6">
        <v>1</v>
      </c>
      <c r="C23" t="s">
        <v>16</v>
      </c>
      <c r="D23" t="s">
        <v>14</v>
      </c>
      <c r="E23">
        <v>1</v>
      </c>
      <c r="F23" s="6"/>
      <c r="G23" s="4">
        <v>3</v>
      </c>
      <c r="H23" s="4"/>
      <c r="I23" s="4"/>
      <c r="J23" s="7"/>
      <c r="K23" s="4">
        <v>12</v>
      </c>
      <c r="L23" s="4"/>
      <c r="M23" s="4">
        <v>2</v>
      </c>
      <c r="N23" s="8"/>
      <c r="O23" s="4">
        <v>3</v>
      </c>
      <c r="P23" s="4">
        <v>2</v>
      </c>
      <c r="Q23" s="4">
        <v>1</v>
      </c>
      <c r="R23" s="4">
        <v>0</v>
      </c>
      <c r="S23" s="4"/>
    </row>
    <row r="24" spans="1:19" x14ac:dyDescent="0.2">
      <c r="A24" s="1">
        <v>45883</v>
      </c>
      <c r="B24" s="6">
        <v>1</v>
      </c>
      <c r="C24" t="s">
        <v>18</v>
      </c>
      <c r="D24" t="s">
        <v>14</v>
      </c>
      <c r="E24">
        <v>1</v>
      </c>
      <c r="F24" s="6"/>
      <c r="G24" s="4">
        <v>3</v>
      </c>
      <c r="H24" s="4"/>
      <c r="I24" s="4"/>
      <c r="J24" s="7"/>
      <c r="K24" s="4">
        <v>12</v>
      </c>
      <c r="L24" s="4"/>
      <c r="M24" s="4">
        <v>2</v>
      </c>
      <c r="N24" s="8"/>
      <c r="O24" s="4">
        <v>3</v>
      </c>
      <c r="P24" s="4">
        <v>3</v>
      </c>
      <c r="Q24" s="4">
        <v>2</v>
      </c>
      <c r="R24" s="4">
        <v>0</v>
      </c>
      <c r="S24" s="4"/>
    </row>
    <row r="25" spans="1:19" x14ac:dyDescent="0.2">
      <c r="A25" s="1">
        <v>45883</v>
      </c>
      <c r="B25" s="6">
        <v>1</v>
      </c>
      <c r="C25" t="s">
        <v>7</v>
      </c>
      <c r="D25" t="s">
        <v>13</v>
      </c>
      <c r="E25">
        <v>1</v>
      </c>
      <c r="F25" s="6"/>
      <c r="G25" s="4">
        <v>3</v>
      </c>
      <c r="H25" s="4"/>
      <c r="I25" s="4"/>
      <c r="J25" s="7"/>
      <c r="K25" s="4">
        <v>4</v>
      </c>
      <c r="L25" s="4"/>
      <c r="M25" s="4">
        <v>0</v>
      </c>
      <c r="N25" s="8"/>
      <c r="O25" s="4">
        <v>7</v>
      </c>
      <c r="P25" s="4">
        <v>2</v>
      </c>
      <c r="Q25" s="4">
        <v>3</v>
      </c>
      <c r="R25" s="4">
        <v>0</v>
      </c>
      <c r="S25" s="4"/>
    </row>
    <row r="26" spans="1:19" x14ac:dyDescent="0.2">
      <c r="A26" s="1">
        <v>45918</v>
      </c>
      <c r="B26" s="6">
        <v>1</v>
      </c>
      <c r="C26" t="s">
        <v>7</v>
      </c>
      <c r="D26" t="s">
        <v>13</v>
      </c>
      <c r="F26" s="6"/>
      <c r="G26" s="4">
        <v>4</v>
      </c>
      <c r="H26" s="4"/>
      <c r="I26" s="4"/>
      <c r="J26" s="7"/>
      <c r="K26" s="4">
        <v>6</v>
      </c>
      <c r="L26" s="4"/>
      <c r="M26" s="4">
        <v>0</v>
      </c>
      <c r="N26" s="8"/>
      <c r="O26" s="4">
        <v>8</v>
      </c>
      <c r="P26" s="4">
        <v>3</v>
      </c>
      <c r="Q26" s="4">
        <v>2</v>
      </c>
      <c r="R26" s="4">
        <v>1</v>
      </c>
      <c r="S26" s="4"/>
    </row>
    <row r="27" spans="1:19" x14ac:dyDescent="0.2">
      <c r="A27" s="1">
        <v>45918</v>
      </c>
      <c r="B27" s="6">
        <v>1</v>
      </c>
      <c r="C27" t="s">
        <v>20</v>
      </c>
      <c r="D27" t="s">
        <v>13</v>
      </c>
      <c r="F27" s="6"/>
      <c r="G27" s="4">
        <v>4</v>
      </c>
      <c r="H27" s="4"/>
      <c r="I27" s="4"/>
      <c r="J27" s="7"/>
      <c r="K27" s="4">
        <v>4</v>
      </c>
      <c r="L27" s="4"/>
      <c r="M27" s="4">
        <v>0</v>
      </c>
      <c r="N27" s="8"/>
      <c r="O27" s="4">
        <v>5</v>
      </c>
      <c r="P27" s="4">
        <v>2</v>
      </c>
      <c r="Q27" s="4">
        <v>1</v>
      </c>
      <c r="R27" s="4">
        <v>1</v>
      </c>
      <c r="S27" s="4"/>
    </row>
    <row r="28" spans="1:19" x14ac:dyDescent="0.2">
      <c r="A28" s="1">
        <v>45918</v>
      </c>
      <c r="B28" s="6">
        <v>1</v>
      </c>
      <c r="C28" t="s">
        <v>9</v>
      </c>
      <c r="D28" t="s">
        <v>13</v>
      </c>
      <c r="F28" s="6"/>
      <c r="G28" s="4">
        <v>4</v>
      </c>
      <c r="H28" s="4"/>
      <c r="I28" s="4"/>
      <c r="J28" s="7"/>
      <c r="K28" s="4">
        <v>8</v>
      </c>
      <c r="L28" s="4"/>
      <c r="M28" s="4">
        <v>0</v>
      </c>
      <c r="N28" s="8"/>
      <c r="O28" s="4">
        <v>3</v>
      </c>
      <c r="P28" s="4">
        <v>2</v>
      </c>
      <c r="Q28" s="4">
        <v>0</v>
      </c>
      <c r="R28" s="4">
        <v>1</v>
      </c>
      <c r="S28" s="4"/>
    </row>
    <row r="29" spans="1:19" x14ac:dyDescent="0.2">
      <c r="A29" s="1">
        <v>45918</v>
      </c>
      <c r="B29" s="6">
        <v>1</v>
      </c>
      <c r="C29" t="s">
        <v>17</v>
      </c>
      <c r="D29" t="s">
        <v>13</v>
      </c>
      <c r="F29" s="6"/>
      <c r="G29" s="4">
        <v>4</v>
      </c>
      <c r="H29" s="4"/>
      <c r="I29" s="4"/>
      <c r="J29" s="7"/>
      <c r="K29" s="4">
        <v>6</v>
      </c>
      <c r="L29" s="4"/>
      <c r="M29" s="4">
        <v>2</v>
      </c>
      <c r="N29" s="8"/>
      <c r="O29" s="4">
        <v>7</v>
      </c>
      <c r="P29" s="4">
        <v>5</v>
      </c>
      <c r="Q29" s="4">
        <v>2</v>
      </c>
      <c r="R29" s="4">
        <v>0</v>
      </c>
      <c r="S29" s="4"/>
    </row>
    <row r="30" spans="1:19" x14ac:dyDescent="0.2">
      <c r="A30" s="1">
        <v>45918</v>
      </c>
      <c r="B30" s="6">
        <v>1</v>
      </c>
      <c r="C30" t="s">
        <v>11</v>
      </c>
      <c r="D30" t="s">
        <v>14</v>
      </c>
      <c r="F30" s="6"/>
      <c r="G30" s="4">
        <v>4</v>
      </c>
      <c r="H30" s="4"/>
      <c r="I30" s="4"/>
      <c r="J30" s="7"/>
      <c r="K30" s="4">
        <v>2</v>
      </c>
      <c r="L30" s="4"/>
      <c r="M30" s="4">
        <v>0</v>
      </c>
      <c r="N30" s="8"/>
      <c r="O30" s="4">
        <v>5</v>
      </c>
      <c r="P30" s="4">
        <v>1</v>
      </c>
      <c r="Q30" s="4">
        <v>0</v>
      </c>
      <c r="R30" s="4">
        <v>1</v>
      </c>
      <c r="S30" s="4"/>
    </row>
    <row r="31" spans="1:19" x14ac:dyDescent="0.2">
      <c r="A31" s="1">
        <v>45918</v>
      </c>
      <c r="B31" s="6">
        <v>1</v>
      </c>
      <c r="C31" t="s">
        <v>19</v>
      </c>
      <c r="D31" t="s">
        <v>14</v>
      </c>
      <c r="F31" s="6"/>
      <c r="G31" s="4">
        <v>4</v>
      </c>
      <c r="H31" s="4"/>
      <c r="I31" s="4"/>
      <c r="J31" s="7"/>
      <c r="K31" s="4">
        <v>6</v>
      </c>
      <c r="L31" s="4"/>
      <c r="M31" s="4">
        <v>2</v>
      </c>
      <c r="N31" s="8"/>
      <c r="O31" s="4">
        <v>7</v>
      </c>
      <c r="P31" s="4">
        <v>2</v>
      </c>
      <c r="Q31" s="4">
        <v>2</v>
      </c>
      <c r="R31" s="4">
        <v>0</v>
      </c>
      <c r="S31" s="4"/>
    </row>
    <row r="32" spans="1:19" x14ac:dyDescent="0.2">
      <c r="A32" s="1">
        <v>45918</v>
      </c>
      <c r="B32" s="6">
        <v>1</v>
      </c>
      <c r="C32" t="s">
        <v>16</v>
      </c>
      <c r="D32" t="s">
        <v>14</v>
      </c>
      <c r="F32" s="6"/>
      <c r="G32" s="4">
        <v>4</v>
      </c>
      <c r="H32" s="4"/>
      <c r="I32" s="4"/>
      <c r="J32" s="7"/>
      <c r="K32" s="4">
        <v>5</v>
      </c>
      <c r="L32" s="4"/>
      <c r="M32" s="4">
        <v>1</v>
      </c>
      <c r="N32" s="8"/>
      <c r="O32" s="4">
        <v>4</v>
      </c>
      <c r="P32" s="4">
        <v>0</v>
      </c>
      <c r="Q32" s="4">
        <v>0</v>
      </c>
      <c r="R32" s="4">
        <v>0</v>
      </c>
      <c r="S32" s="4"/>
    </row>
    <row r="33" spans="1:19" x14ac:dyDescent="0.2">
      <c r="A33" s="1">
        <v>45918</v>
      </c>
      <c r="B33" s="6">
        <v>1</v>
      </c>
      <c r="C33" t="s">
        <v>18</v>
      </c>
      <c r="D33" t="s">
        <v>14</v>
      </c>
      <c r="F33" s="6"/>
      <c r="G33" s="4">
        <v>4</v>
      </c>
      <c r="H33" s="4"/>
      <c r="I33" s="4"/>
      <c r="J33" s="7"/>
      <c r="K33" s="4">
        <v>3</v>
      </c>
      <c r="L33" s="4"/>
      <c r="M33" s="4">
        <v>1</v>
      </c>
      <c r="N33" s="8"/>
      <c r="O33" s="4">
        <v>0</v>
      </c>
      <c r="P33" s="4">
        <v>0</v>
      </c>
      <c r="Q33" s="4">
        <v>1</v>
      </c>
      <c r="R33" s="4">
        <v>0</v>
      </c>
      <c r="S33" s="4"/>
    </row>
    <row r="34" spans="1:19" x14ac:dyDescent="0.2">
      <c r="A34" s="1">
        <v>45925</v>
      </c>
      <c r="B34" s="6">
        <v>1</v>
      </c>
      <c r="C34" t="s">
        <v>7</v>
      </c>
      <c r="D34" t="s">
        <v>13</v>
      </c>
      <c r="F34" s="6"/>
      <c r="G34" s="4">
        <v>5</v>
      </c>
      <c r="H34" s="4"/>
      <c r="I34" s="4"/>
      <c r="J34" s="7"/>
      <c r="K34" s="4">
        <v>6</v>
      </c>
      <c r="L34" s="4"/>
      <c r="M34" s="4">
        <v>0</v>
      </c>
      <c r="N34" s="8"/>
      <c r="O34" s="4">
        <v>8</v>
      </c>
      <c r="P34" s="4">
        <v>5</v>
      </c>
      <c r="Q34" s="4">
        <v>5</v>
      </c>
      <c r="R34" s="4">
        <v>0</v>
      </c>
      <c r="S34" s="4"/>
    </row>
    <row r="35" spans="1:19" x14ac:dyDescent="0.2">
      <c r="A35" s="1">
        <v>45925</v>
      </c>
      <c r="B35" s="6">
        <v>1</v>
      </c>
      <c r="C35" t="s">
        <v>20</v>
      </c>
      <c r="D35" t="s">
        <v>13</v>
      </c>
      <c r="F35" s="6"/>
      <c r="G35" s="4">
        <v>5</v>
      </c>
      <c r="H35" s="4"/>
      <c r="I35" s="4"/>
      <c r="J35" s="7"/>
      <c r="K35" s="4">
        <v>11</v>
      </c>
      <c r="L35" s="4"/>
      <c r="M35" s="4">
        <v>1</v>
      </c>
      <c r="N35" s="8"/>
      <c r="O35" s="4">
        <v>5</v>
      </c>
      <c r="P35" s="4">
        <v>4</v>
      </c>
      <c r="Q35" s="4">
        <v>3</v>
      </c>
      <c r="R35" s="4">
        <v>0</v>
      </c>
      <c r="S35" s="4"/>
    </row>
    <row r="36" spans="1:19" x14ac:dyDescent="0.2">
      <c r="A36" s="1">
        <v>45925</v>
      </c>
      <c r="B36" s="6">
        <v>1</v>
      </c>
      <c r="C36" t="s">
        <v>9</v>
      </c>
      <c r="D36" t="s">
        <v>13</v>
      </c>
      <c r="F36" s="6"/>
      <c r="G36" s="4">
        <v>5</v>
      </c>
      <c r="H36" s="4"/>
      <c r="I36" s="4"/>
      <c r="J36" s="7"/>
      <c r="K36" s="4">
        <v>19</v>
      </c>
      <c r="L36" s="4"/>
      <c r="M36" s="4">
        <v>5</v>
      </c>
      <c r="N36" s="8"/>
      <c r="O36" s="4">
        <v>14</v>
      </c>
      <c r="P36" s="4">
        <v>0</v>
      </c>
      <c r="Q36" s="4">
        <v>1</v>
      </c>
      <c r="R36" s="4">
        <v>1</v>
      </c>
      <c r="S36" s="4"/>
    </row>
    <row r="37" spans="1:19" x14ac:dyDescent="0.2">
      <c r="A37" s="1">
        <v>45925</v>
      </c>
      <c r="B37" s="6">
        <v>1</v>
      </c>
      <c r="C37" t="s">
        <v>17</v>
      </c>
      <c r="D37" t="s">
        <v>13</v>
      </c>
      <c r="F37" s="6"/>
      <c r="G37" s="4">
        <v>5</v>
      </c>
      <c r="H37" s="4"/>
      <c r="I37" s="4"/>
      <c r="J37" s="7"/>
      <c r="K37" s="4">
        <v>3</v>
      </c>
      <c r="L37" s="4"/>
      <c r="M37" s="4">
        <v>1</v>
      </c>
      <c r="N37" s="8"/>
      <c r="O37" s="4">
        <v>2</v>
      </c>
      <c r="P37" s="4">
        <v>1</v>
      </c>
      <c r="Q37" s="4">
        <v>2</v>
      </c>
      <c r="R37" s="4">
        <v>0</v>
      </c>
      <c r="S37" s="4"/>
    </row>
    <row r="38" spans="1:19" x14ac:dyDescent="0.2">
      <c r="A38" s="1">
        <v>45925</v>
      </c>
      <c r="B38" s="6">
        <v>1</v>
      </c>
      <c r="C38" t="s">
        <v>11</v>
      </c>
      <c r="D38" t="s">
        <v>14</v>
      </c>
      <c r="F38" s="6"/>
      <c r="G38" s="4">
        <v>5</v>
      </c>
      <c r="H38" s="4"/>
      <c r="I38" s="4"/>
      <c r="J38" s="7"/>
      <c r="K38" s="4">
        <v>7</v>
      </c>
      <c r="L38" s="4"/>
      <c r="M38" s="4">
        <v>1</v>
      </c>
      <c r="N38" s="8"/>
      <c r="O38" s="4">
        <v>6</v>
      </c>
      <c r="P38" s="4">
        <v>2</v>
      </c>
      <c r="Q38" s="4">
        <v>1</v>
      </c>
      <c r="R38" s="4">
        <v>2</v>
      </c>
      <c r="S38" s="4"/>
    </row>
    <row r="39" spans="1:19" x14ac:dyDescent="0.2">
      <c r="A39" s="1">
        <v>45925</v>
      </c>
      <c r="B39" s="6">
        <v>1</v>
      </c>
      <c r="C39" t="s">
        <v>19</v>
      </c>
      <c r="D39" t="s">
        <v>14</v>
      </c>
      <c r="F39" s="6"/>
      <c r="G39" s="4">
        <v>5</v>
      </c>
      <c r="H39" s="4"/>
      <c r="I39" s="4"/>
      <c r="J39" s="7"/>
      <c r="K39" s="4">
        <v>0</v>
      </c>
      <c r="L39" s="4"/>
      <c r="M39" s="4">
        <v>0</v>
      </c>
      <c r="N39" s="8"/>
      <c r="O39" s="4">
        <v>4</v>
      </c>
      <c r="P39" s="4">
        <v>2</v>
      </c>
      <c r="Q39" s="4">
        <v>2</v>
      </c>
      <c r="R39" s="4">
        <v>0</v>
      </c>
      <c r="S39" s="4"/>
    </row>
    <row r="40" spans="1:19" x14ac:dyDescent="0.2">
      <c r="A40" s="1">
        <v>45925</v>
      </c>
      <c r="B40" s="6">
        <v>1</v>
      </c>
      <c r="C40" t="s">
        <v>16</v>
      </c>
      <c r="D40" t="s">
        <v>14</v>
      </c>
      <c r="F40" s="6"/>
      <c r="G40" s="4">
        <v>5</v>
      </c>
      <c r="H40" s="4"/>
      <c r="I40" s="4"/>
      <c r="J40" s="7"/>
      <c r="K40" s="4">
        <v>4</v>
      </c>
      <c r="L40" s="4"/>
      <c r="M40" s="4">
        <v>0</v>
      </c>
      <c r="N40" s="8"/>
      <c r="O40" s="4">
        <v>6</v>
      </c>
      <c r="P40" s="4">
        <v>1</v>
      </c>
      <c r="Q40" s="4">
        <v>2</v>
      </c>
      <c r="R40" s="4">
        <v>0</v>
      </c>
      <c r="S40" s="4"/>
    </row>
    <row r="41" spans="1:19" x14ac:dyDescent="0.2">
      <c r="A41" s="1">
        <v>45925</v>
      </c>
      <c r="B41" s="6">
        <v>1</v>
      </c>
      <c r="C41" t="s">
        <v>18</v>
      </c>
      <c r="D41" t="s">
        <v>14</v>
      </c>
      <c r="F41" s="6"/>
      <c r="G41" s="4">
        <v>5</v>
      </c>
      <c r="H41" s="4"/>
      <c r="I41" s="4"/>
      <c r="J41" s="7"/>
      <c r="K41" s="4">
        <v>4</v>
      </c>
      <c r="L41" s="4"/>
      <c r="M41" s="4">
        <v>0</v>
      </c>
      <c r="N41" s="8"/>
      <c r="O41" s="4">
        <v>4</v>
      </c>
      <c r="P41" s="4">
        <v>6</v>
      </c>
      <c r="Q41" s="4">
        <v>0</v>
      </c>
      <c r="R41" s="4">
        <v>0</v>
      </c>
      <c r="S41" s="4"/>
    </row>
    <row r="42" spans="1:19" x14ac:dyDescent="0.2">
      <c r="A42" s="1">
        <v>45925</v>
      </c>
      <c r="B42" s="6">
        <v>1</v>
      </c>
      <c r="C42" t="s">
        <v>7</v>
      </c>
      <c r="D42" t="s">
        <v>13</v>
      </c>
      <c r="F42" s="6"/>
      <c r="G42" s="4">
        <v>6</v>
      </c>
      <c r="H42" s="4"/>
      <c r="I42" s="4"/>
      <c r="J42" s="7"/>
      <c r="K42" s="4">
        <v>12</v>
      </c>
      <c r="L42" s="4"/>
      <c r="M42" s="4">
        <v>0</v>
      </c>
      <c r="N42" s="8"/>
      <c r="O42" s="4">
        <v>5</v>
      </c>
      <c r="P42" s="4">
        <v>3</v>
      </c>
      <c r="Q42" s="4">
        <v>6</v>
      </c>
      <c r="R42" s="4">
        <v>0</v>
      </c>
      <c r="S42" s="4"/>
    </row>
    <row r="43" spans="1:19" x14ac:dyDescent="0.2">
      <c r="A43" s="1">
        <v>45925</v>
      </c>
      <c r="B43" s="6">
        <v>1</v>
      </c>
      <c r="C43" t="s">
        <v>20</v>
      </c>
      <c r="D43" t="s">
        <v>13</v>
      </c>
      <c r="F43" s="6"/>
      <c r="G43" s="4">
        <v>6</v>
      </c>
      <c r="H43" s="4"/>
      <c r="I43" s="4"/>
      <c r="J43" s="7"/>
      <c r="K43" s="4">
        <v>4</v>
      </c>
      <c r="L43" s="4"/>
      <c r="M43" s="4">
        <v>0</v>
      </c>
      <c r="N43" s="8"/>
      <c r="O43" s="4">
        <v>2</v>
      </c>
      <c r="P43" s="4">
        <v>5</v>
      </c>
      <c r="Q43" s="4">
        <v>3</v>
      </c>
      <c r="R43" s="4">
        <v>0</v>
      </c>
      <c r="S43" s="4"/>
    </row>
    <row r="44" spans="1:19" x14ac:dyDescent="0.2">
      <c r="A44" s="1">
        <v>45925</v>
      </c>
      <c r="B44" s="6">
        <v>1</v>
      </c>
      <c r="C44" t="s">
        <v>9</v>
      </c>
      <c r="D44" t="s">
        <v>13</v>
      </c>
      <c r="F44" s="6"/>
      <c r="G44" s="4">
        <v>6</v>
      </c>
      <c r="H44" s="4"/>
      <c r="I44" s="4"/>
      <c r="J44" s="7"/>
      <c r="K44" s="4">
        <v>18</v>
      </c>
      <c r="L44" s="4"/>
      <c r="M44" s="4">
        <v>4</v>
      </c>
      <c r="N44" s="8"/>
      <c r="O44" s="4">
        <v>10</v>
      </c>
      <c r="P44" s="4">
        <v>0</v>
      </c>
      <c r="Q44" s="4">
        <v>1</v>
      </c>
      <c r="R44" s="4">
        <v>1</v>
      </c>
      <c r="S44" s="4"/>
    </row>
    <row r="45" spans="1:19" x14ac:dyDescent="0.2">
      <c r="A45" s="1">
        <v>45925</v>
      </c>
      <c r="B45" s="6">
        <v>1</v>
      </c>
      <c r="C45" t="s">
        <v>17</v>
      </c>
      <c r="D45" t="s">
        <v>13</v>
      </c>
      <c r="F45" s="6"/>
      <c r="G45" s="4">
        <v>6</v>
      </c>
      <c r="H45" s="4"/>
      <c r="I45" s="4"/>
      <c r="J45" s="7"/>
      <c r="K45" s="4">
        <v>6</v>
      </c>
      <c r="L45" s="4"/>
      <c r="M45" s="4">
        <v>2</v>
      </c>
      <c r="N45" s="8"/>
      <c r="O45" s="4">
        <v>1</v>
      </c>
      <c r="P45" s="4">
        <v>1</v>
      </c>
      <c r="Q45" s="4">
        <v>1</v>
      </c>
      <c r="R45" s="4">
        <v>0</v>
      </c>
      <c r="S45" s="4"/>
    </row>
    <row r="46" spans="1:19" x14ac:dyDescent="0.2">
      <c r="A46" s="1">
        <v>45925</v>
      </c>
      <c r="B46" s="6">
        <v>1</v>
      </c>
      <c r="C46" t="s">
        <v>11</v>
      </c>
      <c r="D46" t="s">
        <v>14</v>
      </c>
      <c r="F46" s="6"/>
      <c r="G46" s="4">
        <v>6</v>
      </c>
      <c r="H46" s="4"/>
      <c r="I46" s="4"/>
      <c r="J46" s="7"/>
      <c r="K46" s="4">
        <v>9</v>
      </c>
      <c r="L46" s="4"/>
      <c r="M46" s="4">
        <v>1</v>
      </c>
      <c r="N46" s="8"/>
      <c r="O46" s="4">
        <v>7</v>
      </c>
      <c r="P46" s="4">
        <v>1</v>
      </c>
      <c r="Q46" s="4">
        <v>3</v>
      </c>
      <c r="R46" s="4">
        <v>0</v>
      </c>
      <c r="S46" s="4"/>
    </row>
    <row r="47" spans="1:19" x14ac:dyDescent="0.2">
      <c r="A47" s="1">
        <v>45925</v>
      </c>
      <c r="B47" s="6">
        <v>1</v>
      </c>
      <c r="C47" t="s">
        <v>19</v>
      </c>
      <c r="D47" t="s">
        <v>14</v>
      </c>
      <c r="F47" s="6"/>
      <c r="G47" s="4">
        <v>6</v>
      </c>
      <c r="H47" s="4"/>
      <c r="I47" s="4"/>
      <c r="J47" s="7"/>
      <c r="K47" s="4">
        <v>2</v>
      </c>
      <c r="L47" s="4"/>
      <c r="M47" s="4">
        <v>0</v>
      </c>
      <c r="N47" s="8"/>
      <c r="O47" s="4">
        <v>3</v>
      </c>
      <c r="P47" s="4">
        <v>0</v>
      </c>
      <c r="Q47" s="4">
        <v>1</v>
      </c>
      <c r="R47" s="4">
        <v>2</v>
      </c>
      <c r="S47" s="4"/>
    </row>
    <row r="48" spans="1:19" x14ac:dyDescent="0.2">
      <c r="A48" s="1">
        <v>45925</v>
      </c>
      <c r="B48" s="6">
        <v>1</v>
      </c>
      <c r="C48" t="s">
        <v>16</v>
      </c>
      <c r="D48" t="s">
        <v>14</v>
      </c>
      <c r="F48" s="6"/>
      <c r="G48" s="4">
        <v>6</v>
      </c>
      <c r="H48" s="4"/>
      <c r="I48" s="4"/>
      <c r="J48" s="7"/>
      <c r="K48" s="4">
        <v>6</v>
      </c>
      <c r="L48" s="4"/>
      <c r="M48" s="4">
        <v>0</v>
      </c>
      <c r="N48" s="8"/>
      <c r="O48" s="4">
        <v>5</v>
      </c>
      <c r="P48" s="4">
        <v>3</v>
      </c>
      <c r="Q48" s="4">
        <v>2</v>
      </c>
      <c r="R48" s="4">
        <v>0</v>
      </c>
      <c r="S48" s="4"/>
    </row>
    <row r="49" spans="1:19" x14ac:dyDescent="0.2">
      <c r="A49" s="1">
        <v>45925</v>
      </c>
      <c r="B49" s="6">
        <v>1</v>
      </c>
      <c r="C49" t="s">
        <v>18</v>
      </c>
      <c r="D49" t="s">
        <v>14</v>
      </c>
      <c r="F49" s="6"/>
      <c r="G49" s="4">
        <v>6</v>
      </c>
      <c r="H49" s="4"/>
      <c r="I49" s="4"/>
      <c r="J49" s="7"/>
      <c r="K49" s="4">
        <v>8</v>
      </c>
      <c r="L49" s="4"/>
      <c r="M49" s="4">
        <v>2</v>
      </c>
      <c r="N49" s="8"/>
      <c r="O49" s="4">
        <v>0</v>
      </c>
      <c r="P49" s="4">
        <v>1</v>
      </c>
      <c r="Q49" s="4">
        <v>3</v>
      </c>
      <c r="R49" s="4">
        <v>3</v>
      </c>
      <c r="S49" s="4"/>
    </row>
    <row r="50" spans="1:19" x14ac:dyDescent="0.2">
      <c r="A50" s="1">
        <v>45925</v>
      </c>
      <c r="B50" s="6">
        <v>1</v>
      </c>
      <c r="C50" t="s">
        <v>7</v>
      </c>
      <c r="D50" t="s">
        <v>13</v>
      </c>
      <c r="F50" s="6"/>
      <c r="G50" s="4">
        <v>7</v>
      </c>
      <c r="H50" s="4"/>
      <c r="I50" s="4"/>
      <c r="J50" s="7"/>
      <c r="K50" s="4">
        <v>7</v>
      </c>
      <c r="L50" s="4"/>
      <c r="M50" s="4">
        <v>1</v>
      </c>
      <c r="N50" s="8"/>
      <c r="O50" s="4">
        <v>1</v>
      </c>
      <c r="P50" s="4">
        <v>1</v>
      </c>
      <c r="Q50" s="4">
        <v>3</v>
      </c>
      <c r="R50" s="4">
        <v>0</v>
      </c>
      <c r="S50" s="4"/>
    </row>
    <row r="51" spans="1:19" x14ac:dyDescent="0.2">
      <c r="A51" s="1">
        <v>45925</v>
      </c>
      <c r="B51" s="6">
        <v>1</v>
      </c>
      <c r="C51" t="s">
        <v>20</v>
      </c>
      <c r="D51" t="s">
        <v>13</v>
      </c>
      <c r="F51" s="6"/>
      <c r="G51" s="4">
        <v>7</v>
      </c>
      <c r="H51" s="4"/>
      <c r="I51" s="4"/>
      <c r="J51" s="7"/>
      <c r="K51" s="4">
        <v>7</v>
      </c>
      <c r="L51" s="4"/>
      <c r="M51" s="4">
        <v>1</v>
      </c>
      <c r="N51" s="8"/>
      <c r="O51" s="4">
        <v>1</v>
      </c>
      <c r="P51" s="4">
        <v>0</v>
      </c>
      <c r="Q51" s="4">
        <v>2</v>
      </c>
      <c r="R51" s="4">
        <v>0</v>
      </c>
      <c r="S51" s="4"/>
    </row>
    <row r="52" spans="1:19" x14ac:dyDescent="0.2">
      <c r="A52" s="1">
        <v>45925</v>
      </c>
      <c r="B52" s="6">
        <v>1</v>
      </c>
      <c r="C52" t="s">
        <v>9</v>
      </c>
      <c r="D52" t="s">
        <v>13</v>
      </c>
      <c r="F52" s="6"/>
      <c r="G52" s="4">
        <v>7</v>
      </c>
      <c r="H52" s="4"/>
      <c r="I52" s="4"/>
      <c r="J52" s="7"/>
      <c r="K52" s="4">
        <v>15</v>
      </c>
      <c r="L52" s="4"/>
      <c r="M52" s="4">
        <v>1</v>
      </c>
      <c r="N52" s="8"/>
      <c r="O52" s="4">
        <v>7</v>
      </c>
      <c r="P52" s="4">
        <v>1</v>
      </c>
      <c r="Q52" s="4">
        <v>3</v>
      </c>
      <c r="R52" s="4">
        <v>0</v>
      </c>
      <c r="S52" s="4"/>
    </row>
    <row r="53" spans="1:19" x14ac:dyDescent="0.2">
      <c r="A53" s="1">
        <v>45925</v>
      </c>
      <c r="B53" s="6">
        <v>1</v>
      </c>
      <c r="C53" t="s">
        <v>17</v>
      </c>
      <c r="D53" t="s">
        <v>13</v>
      </c>
      <c r="F53" s="6"/>
      <c r="G53" s="4">
        <v>7</v>
      </c>
      <c r="H53" s="4"/>
      <c r="I53" s="4"/>
      <c r="J53" s="7"/>
      <c r="K53" s="4">
        <v>2</v>
      </c>
      <c r="L53" s="4"/>
      <c r="M53" s="4">
        <v>0</v>
      </c>
      <c r="N53" s="8"/>
      <c r="O53" s="4">
        <v>0</v>
      </c>
      <c r="P53" s="4">
        <v>2</v>
      </c>
      <c r="Q53" s="4">
        <v>1</v>
      </c>
      <c r="R53" s="4">
        <v>0</v>
      </c>
      <c r="S53" s="4"/>
    </row>
    <row r="54" spans="1:19" x14ac:dyDescent="0.2">
      <c r="A54" s="1">
        <v>45925</v>
      </c>
      <c r="B54" s="6">
        <v>1</v>
      </c>
      <c r="C54" t="s">
        <v>11</v>
      </c>
      <c r="D54" t="s">
        <v>14</v>
      </c>
      <c r="F54" s="6"/>
      <c r="G54" s="4">
        <v>7</v>
      </c>
      <c r="H54" s="4"/>
      <c r="I54" s="4"/>
      <c r="J54" s="7"/>
      <c r="K54" s="4">
        <v>6</v>
      </c>
      <c r="L54" s="4"/>
      <c r="M54" s="4">
        <v>0</v>
      </c>
      <c r="N54" s="8"/>
      <c r="O54" s="4">
        <v>8</v>
      </c>
      <c r="P54" s="4">
        <v>2</v>
      </c>
      <c r="Q54" s="4">
        <v>1</v>
      </c>
      <c r="R54" s="4">
        <v>0</v>
      </c>
      <c r="S54" s="4"/>
    </row>
    <row r="55" spans="1:19" x14ac:dyDescent="0.2">
      <c r="A55" s="1">
        <v>45925</v>
      </c>
      <c r="B55" s="6">
        <v>1</v>
      </c>
      <c r="C55" t="s">
        <v>19</v>
      </c>
      <c r="D55" t="s">
        <v>14</v>
      </c>
      <c r="F55" s="6"/>
      <c r="G55" s="4">
        <v>7</v>
      </c>
      <c r="H55" s="4"/>
      <c r="I55" s="4"/>
      <c r="J55" s="7"/>
      <c r="K55" s="4">
        <v>7</v>
      </c>
      <c r="L55" s="4"/>
      <c r="M55" s="4">
        <v>1</v>
      </c>
      <c r="N55" s="8"/>
      <c r="O55" s="4">
        <v>3</v>
      </c>
      <c r="P55" s="4">
        <v>1</v>
      </c>
      <c r="Q55" s="4">
        <v>2</v>
      </c>
      <c r="R55" s="4">
        <v>0</v>
      </c>
      <c r="S55" s="4"/>
    </row>
    <row r="56" spans="1:19" x14ac:dyDescent="0.2">
      <c r="A56" s="1">
        <v>45925</v>
      </c>
      <c r="B56" s="6">
        <v>1</v>
      </c>
      <c r="C56" t="s">
        <v>16</v>
      </c>
      <c r="D56" t="s">
        <v>14</v>
      </c>
      <c r="F56" s="6"/>
      <c r="G56" s="4">
        <v>7</v>
      </c>
      <c r="H56" s="4"/>
      <c r="I56" s="4"/>
      <c r="J56" s="7"/>
      <c r="K56" s="4">
        <v>9</v>
      </c>
      <c r="L56" s="4"/>
      <c r="M56" s="4">
        <v>1</v>
      </c>
      <c r="N56" s="8"/>
      <c r="O56" s="4">
        <v>2</v>
      </c>
      <c r="P56" s="4">
        <v>0</v>
      </c>
      <c r="Q56" s="4">
        <v>2</v>
      </c>
      <c r="R56" s="4">
        <v>0</v>
      </c>
      <c r="S56" s="4"/>
    </row>
    <row r="57" spans="1:19" x14ac:dyDescent="0.2">
      <c r="A57" s="1">
        <v>45925</v>
      </c>
      <c r="B57" s="6">
        <v>1</v>
      </c>
      <c r="C57" t="s">
        <v>18</v>
      </c>
      <c r="D57" t="s">
        <v>14</v>
      </c>
      <c r="F57" s="6"/>
      <c r="G57" s="4">
        <v>7</v>
      </c>
      <c r="H57" s="4"/>
      <c r="I57" s="4"/>
      <c r="J57" s="7"/>
      <c r="K57" s="4">
        <v>3</v>
      </c>
      <c r="L57" s="4"/>
      <c r="M57" s="4">
        <v>1</v>
      </c>
      <c r="N57" s="8"/>
      <c r="O57" s="4">
        <v>0</v>
      </c>
      <c r="P57" s="4">
        <v>0</v>
      </c>
      <c r="Q57" s="4">
        <v>3</v>
      </c>
      <c r="R57" s="4">
        <v>0</v>
      </c>
      <c r="S57" s="4"/>
    </row>
    <row r="58" spans="1:19" x14ac:dyDescent="0.2">
      <c r="A58" s="1">
        <v>45932</v>
      </c>
      <c r="B58" s="6">
        <v>1</v>
      </c>
      <c r="C58" t="s">
        <v>7</v>
      </c>
      <c r="D58" t="s">
        <v>13</v>
      </c>
      <c r="F58" s="6"/>
      <c r="G58" s="4">
        <v>8</v>
      </c>
      <c r="H58" s="4"/>
      <c r="I58" s="4"/>
      <c r="J58" s="7"/>
      <c r="K58" s="4">
        <v>6</v>
      </c>
      <c r="L58" s="4"/>
      <c r="M58" s="4">
        <v>0</v>
      </c>
      <c r="N58" s="8"/>
      <c r="O58" s="4">
        <v>11</v>
      </c>
      <c r="P58" s="4">
        <v>5</v>
      </c>
      <c r="Q58" s="4">
        <v>3</v>
      </c>
      <c r="R58" s="4">
        <v>1</v>
      </c>
      <c r="S58" s="4"/>
    </row>
    <row r="59" spans="1:19" x14ac:dyDescent="0.2">
      <c r="A59" s="1">
        <v>45932</v>
      </c>
      <c r="B59" s="6">
        <v>1</v>
      </c>
      <c r="C59" t="s">
        <v>20</v>
      </c>
      <c r="D59" t="s">
        <v>13</v>
      </c>
      <c r="F59" s="6"/>
      <c r="G59" s="4">
        <v>8</v>
      </c>
      <c r="H59" s="4"/>
      <c r="I59" s="4"/>
      <c r="J59" s="7"/>
      <c r="K59" s="4">
        <v>4</v>
      </c>
      <c r="L59" s="4"/>
      <c r="M59" s="4">
        <v>0</v>
      </c>
      <c r="N59" s="8"/>
      <c r="O59" s="4">
        <v>3</v>
      </c>
      <c r="P59" s="4">
        <v>2</v>
      </c>
      <c r="Q59" s="4">
        <v>1</v>
      </c>
      <c r="R59" s="4">
        <v>1</v>
      </c>
      <c r="S59" s="4"/>
    </row>
    <row r="60" spans="1:19" x14ac:dyDescent="0.2">
      <c r="A60" s="1">
        <v>45932</v>
      </c>
      <c r="B60" s="6">
        <v>1</v>
      </c>
      <c r="C60" t="s">
        <v>9</v>
      </c>
      <c r="D60" t="s">
        <v>13</v>
      </c>
      <c r="F60" s="6"/>
      <c r="G60" s="4">
        <v>8</v>
      </c>
      <c r="H60" s="4"/>
      <c r="I60" s="4"/>
      <c r="J60" s="7"/>
      <c r="K60" s="4">
        <v>21</v>
      </c>
      <c r="L60" s="4"/>
      <c r="M60" s="4">
        <v>3</v>
      </c>
      <c r="N60" s="8"/>
      <c r="O60" s="4">
        <v>8</v>
      </c>
      <c r="P60" s="4">
        <v>2</v>
      </c>
      <c r="Q60" s="4">
        <v>2</v>
      </c>
      <c r="R60" s="4">
        <v>0</v>
      </c>
      <c r="S60" s="4"/>
    </row>
    <row r="61" spans="1:19" x14ac:dyDescent="0.2">
      <c r="A61" s="1">
        <v>45932</v>
      </c>
      <c r="B61" s="6">
        <v>1</v>
      </c>
      <c r="C61" t="s">
        <v>17</v>
      </c>
      <c r="D61" t="s">
        <v>13</v>
      </c>
      <c r="F61" s="6"/>
      <c r="G61" s="4">
        <v>8</v>
      </c>
      <c r="H61" s="4"/>
      <c r="I61" s="4"/>
      <c r="J61" s="7"/>
      <c r="K61" s="4">
        <v>5</v>
      </c>
      <c r="L61" s="4"/>
      <c r="M61" s="4">
        <v>1</v>
      </c>
      <c r="N61" s="8"/>
      <c r="O61" s="4">
        <v>2</v>
      </c>
      <c r="P61" s="4">
        <v>2</v>
      </c>
      <c r="Q61" s="4">
        <v>2</v>
      </c>
      <c r="R61" s="4">
        <v>0</v>
      </c>
      <c r="S61" s="4"/>
    </row>
    <row r="62" spans="1:19" x14ac:dyDescent="0.2">
      <c r="A62" s="1">
        <v>45932</v>
      </c>
      <c r="B62" s="6">
        <v>1</v>
      </c>
      <c r="C62" t="s">
        <v>11</v>
      </c>
      <c r="D62" t="s">
        <v>14</v>
      </c>
      <c r="F62" s="6"/>
      <c r="G62" s="4">
        <v>8</v>
      </c>
      <c r="H62" s="4"/>
      <c r="I62" s="4"/>
      <c r="J62" s="7"/>
      <c r="K62" s="4">
        <v>2</v>
      </c>
      <c r="L62" s="4"/>
      <c r="M62" s="4">
        <v>0</v>
      </c>
      <c r="N62" s="8"/>
      <c r="O62" s="4">
        <v>7</v>
      </c>
      <c r="P62" s="4">
        <v>3</v>
      </c>
      <c r="Q62" s="4">
        <v>1</v>
      </c>
      <c r="R62" s="4">
        <v>0</v>
      </c>
      <c r="S62" s="4"/>
    </row>
    <row r="63" spans="1:19" x14ac:dyDescent="0.2">
      <c r="A63" s="1">
        <v>45932</v>
      </c>
      <c r="B63" s="6">
        <v>1</v>
      </c>
      <c r="C63" t="s">
        <v>19</v>
      </c>
      <c r="D63" t="s">
        <v>14</v>
      </c>
      <c r="F63" s="6"/>
      <c r="G63" s="4">
        <v>8</v>
      </c>
      <c r="H63" s="4"/>
      <c r="I63" s="4"/>
      <c r="J63" s="7"/>
      <c r="K63" s="4">
        <v>7</v>
      </c>
      <c r="L63" s="4"/>
      <c r="M63" s="4">
        <v>1</v>
      </c>
      <c r="N63" s="8"/>
      <c r="O63" s="4">
        <v>7</v>
      </c>
      <c r="P63" s="4">
        <v>3</v>
      </c>
      <c r="Q63" s="4">
        <v>3</v>
      </c>
      <c r="R63" s="4">
        <v>0</v>
      </c>
      <c r="S63" s="4"/>
    </row>
    <row r="64" spans="1:19" x14ac:dyDescent="0.2">
      <c r="A64" s="1">
        <v>45932</v>
      </c>
      <c r="B64" s="6">
        <v>1</v>
      </c>
      <c r="C64" t="s">
        <v>16</v>
      </c>
      <c r="D64" t="s">
        <v>14</v>
      </c>
      <c r="F64" s="6"/>
      <c r="G64" s="4">
        <v>8</v>
      </c>
      <c r="H64" s="4"/>
      <c r="I64" s="4"/>
      <c r="J64" s="7"/>
      <c r="K64" s="4">
        <v>7</v>
      </c>
      <c r="L64" s="4"/>
      <c r="M64" s="4">
        <v>1</v>
      </c>
      <c r="N64" s="8"/>
      <c r="O64" s="4">
        <v>9</v>
      </c>
      <c r="P64" s="4">
        <v>1</v>
      </c>
      <c r="Q64" s="4">
        <v>4</v>
      </c>
      <c r="R64" s="4">
        <v>0</v>
      </c>
      <c r="S64" s="4"/>
    </row>
    <row r="65" spans="1:19" x14ac:dyDescent="0.2">
      <c r="A65" s="1">
        <v>45932</v>
      </c>
      <c r="B65" s="6">
        <v>1</v>
      </c>
      <c r="C65" t="s">
        <v>18</v>
      </c>
      <c r="D65" t="s">
        <v>14</v>
      </c>
      <c r="F65" s="6"/>
      <c r="G65" s="4">
        <v>8</v>
      </c>
      <c r="H65" s="4"/>
      <c r="I65" s="4"/>
      <c r="J65" s="7"/>
      <c r="K65" s="4">
        <v>7</v>
      </c>
      <c r="L65" s="4"/>
      <c r="M65" s="4">
        <v>1</v>
      </c>
      <c r="N65" s="8"/>
      <c r="O65" s="4">
        <v>0</v>
      </c>
      <c r="P65" s="4">
        <v>2</v>
      </c>
      <c r="Q65" s="4">
        <v>0</v>
      </c>
      <c r="R65" s="4">
        <v>0</v>
      </c>
      <c r="S65" s="4"/>
    </row>
    <row r="66" spans="1:19" x14ac:dyDescent="0.2">
      <c r="A66" s="1">
        <v>45932</v>
      </c>
      <c r="B66" s="6">
        <v>1</v>
      </c>
      <c r="C66" t="s">
        <v>7</v>
      </c>
      <c r="D66" t="s">
        <v>13</v>
      </c>
      <c r="F66" s="6"/>
      <c r="G66" s="4">
        <v>9</v>
      </c>
      <c r="H66" s="4"/>
      <c r="I66" s="4"/>
      <c r="J66" s="7"/>
      <c r="K66" s="4">
        <v>4</v>
      </c>
      <c r="L66" s="4"/>
      <c r="M66" s="4">
        <v>0</v>
      </c>
      <c r="N66" s="8"/>
      <c r="O66" s="4">
        <v>4</v>
      </c>
      <c r="P66" s="4">
        <v>4</v>
      </c>
      <c r="Q66" s="4">
        <v>2</v>
      </c>
      <c r="R66" s="4">
        <v>1</v>
      </c>
      <c r="S66" s="4"/>
    </row>
    <row r="67" spans="1:19" x14ac:dyDescent="0.2">
      <c r="A67" s="1">
        <v>45932</v>
      </c>
      <c r="B67" s="6">
        <v>1</v>
      </c>
      <c r="C67" t="s">
        <v>20</v>
      </c>
      <c r="D67" t="s">
        <v>13</v>
      </c>
      <c r="F67" s="6"/>
      <c r="G67" s="4">
        <v>9</v>
      </c>
      <c r="H67" s="4"/>
      <c r="I67" s="4"/>
      <c r="J67" s="7"/>
      <c r="K67" s="4">
        <v>11</v>
      </c>
      <c r="L67" s="4"/>
      <c r="M67" s="4">
        <v>1</v>
      </c>
      <c r="N67" s="8"/>
      <c r="O67" s="4">
        <v>8</v>
      </c>
      <c r="P67" s="4">
        <v>1</v>
      </c>
      <c r="Q67" s="4">
        <v>2</v>
      </c>
      <c r="R67" s="4">
        <v>0</v>
      </c>
      <c r="S67" s="4"/>
    </row>
    <row r="68" spans="1:19" x14ac:dyDescent="0.2">
      <c r="A68" s="1">
        <v>45932</v>
      </c>
      <c r="B68" s="6">
        <v>1</v>
      </c>
      <c r="C68" t="s">
        <v>9</v>
      </c>
      <c r="D68" t="s">
        <v>13</v>
      </c>
      <c r="F68" s="6"/>
      <c r="G68" s="4">
        <v>9</v>
      </c>
      <c r="H68" s="4"/>
      <c r="I68" s="4"/>
      <c r="J68" s="7"/>
      <c r="K68" s="4">
        <v>12</v>
      </c>
      <c r="L68" s="4"/>
      <c r="M68" s="4">
        <v>2</v>
      </c>
      <c r="N68" s="8"/>
      <c r="O68" s="4">
        <v>12</v>
      </c>
      <c r="P68" s="4">
        <v>4</v>
      </c>
      <c r="Q68" s="4">
        <v>4</v>
      </c>
      <c r="R68" s="4">
        <v>3</v>
      </c>
      <c r="S68" s="4"/>
    </row>
    <row r="69" spans="1:19" x14ac:dyDescent="0.2">
      <c r="A69" s="1">
        <v>45932</v>
      </c>
      <c r="B69" s="6">
        <v>1</v>
      </c>
      <c r="C69" t="s">
        <v>17</v>
      </c>
      <c r="D69" t="s">
        <v>13</v>
      </c>
      <c r="F69" s="6"/>
      <c r="G69" s="4">
        <v>9</v>
      </c>
      <c r="H69" s="4"/>
      <c r="I69" s="4"/>
      <c r="J69" s="7"/>
      <c r="K69" s="4">
        <v>2</v>
      </c>
      <c r="L69" s="4"/>
      <c r="M69" s="4">
        <v>0</v>
      </c>
      <c r="N69" s="8"/>
      <c r="O69" s="4">
        <v>1</v>
      </c>
      <c r="P69" s="4">
        <v>6</v>
      </c>
      <c r="Q69" s="4">
        <v>0</v>
      </c>
      <c r="R69" s="4">
        <v>0</v>
      </c>
      <c r="S69" s="4"/>
    </row>
    <row r="70" spans="1:19" x14ac:dyDescent="0.2">
      <c r="A70" s="1">
        <v>45932</v>
      </c>
      <c r="B70" s="6">
        <v>1</v>
      </c>
      <c r="C70" t="s">
        <v>11</v>
      </c>
      <c r="D70" t="s">
        <v>14</v>
      </c>
      <c r="F70" s="6"/>
      <c r="G70" s="4">
        <v>9</v>
      </c>
      <c r="H70" s="4"/>
      <c r="I70" s="4"/>
      <c r="J70" s="7"/>
      <c r="K70" s="4">
        <v>2</v>
      </c>
      <c r="L70" s="4"/>
      <c r="M70" s="4">
        <v>0</v>
      </c>
      <c r="N70" s="8"/>
      <c r="O70" s="4">
        <v>10</v>
      </c>
      <c r="P70" s="4">
        <v>3</v>
      </c>
      <c r="Q70" s="4">
        <v>2</v>
      </c>
      <c r="R70" s="4">
        <v>0</v>
      </c>
      <c r="S70" s="4"/>
    </row>
    <row r="71" spans="1:19" x14ac:dyDescent="0.2">
      <c r="A71" s="1">
        <v>45932</v>
      </c>
      <c r="B71" s="6">
        <v>1</v>
      </c>
      <c r="C71" t="s">
        <v>19</v>
      </c>
      <c r="D71" t="s">
        <v>14</v>
      </c>
      <c r="F71" s="6"/>
      <c r="G71" s="4">
        <v>9</v>
      </c>
      <c r="H71" s="4"/>
      <c r="I71" s="4"/>
      <c r="J71" s="7"/>
      <c r="K71" s="4">
        <v>14</v>
      </c>
      <c r="L71" s="4"/>
      <c r="M71" s="4">
        <v>4</v>
      </c>
      <c r="N71" s="8"/>
      <c r="O71" s="4">
        <v>9</v>
      </c>
      <c r="P71" s="4">
        <v>1</v>
      </c>
      <c r="Q71" s="4">
        <v>2</v>
      </c>
      <c r="R71" s="4">
        <v>0</v>
      </c>
      <c r="S71" s="4"/>
    </row>
    <row r="72" spans="1:19" x14ac:dyDescent="0.2">
      <c r="A72" s="1">
        <v>45932</v>
      </c>
      <c r="B72" s="6">
        <v>1</v>
      </c>
      <c r="C72" t="s">
        <v>16</v>
      </c>
      <c r="D72" t="s">
        <v>14</v>
      </c>
      <c r="F72" s="6"/>
      <c r="G72" s="4">
        <v>9</v>
      </c>
      <c r="H72" s="4"/>
      <c r="I72" s="4"/>
      <c r="J72" s="7"/>
      <c r="K72" s="4">
        <v>7</v>
      </c>
      <c r="L72" s="4"/>
      <c r="M72" s="4">
        <v>1</v>
      </c>
      <c r="N72" s="8"/>
      <c r="O72" s="4">
        <v>6</v>
      </c>
      <c r="P72" s="4">
        <v>0</v>
      </c>
      <c r="Q72" s="4">
        <v>2</v>
      </c>
      <c r="R72" s="4">
        <v>0</v>
      </c>
      <c r="S72" s="4"/>
    </row>
    <row r="73" spans="1:19" x14ac:dyDescent="0.2">
      <c r="A73" s="1">
        <v>45932</v>
      </c>
      <c r="B73" s="6">
        <v>1</v>
      </c>
      <c r="C73" t="s">
        <v>18</v>
      </c>
      <c r="D73" t="s">
        <v>14</v>
      </c>
      <c r="F73" s="6"/>
      <c r="G73" s="4">
        <v>9</v>
      </c>
      <c r="H73" s="4"/>
      <c r="I73" s="4"/>
      <c r="J73" s="7"/>
      <c r="K73" s="4">
        <v>12</v>
      </c>
      <c r="L73" s="4"/>
      <c r="M73" s="4">
        <v>4</v>
      </c>
      <c r="N73" s="8"/>
      <c r="O73" s="4">
        <v>1</v>
      </c>
      <c r="P73" s="4">
        <v>0</v>
      </c>
      <c r="Q73" s="4">
        <v>2</v>
      </c>
      <c r="R73" s="4">
        <v>1</v>
      </c>
      <c r="S73" s="4"/>
    </row>
    <row r="74" spans="1:19" x14ac:dyDescent="0.2">
      <c r="A74" s="1">
        <v>45932</v>
      </c>
      <c r="B74" s="6">
        <v>1</v>
      </c>
      <c r="C74" t="s">
        <v>7</v>
      </c>
      <c r="D74" t="s">
        <v>13</v>
      </c>
      <c r="F74" s="6"/>
      <c r="G74" s="4">
        <v>10</v>
      </c>
      <c r="H74" s="4"/>
      <c r="I74" s="4"/>
      <c r="J74" s="7"/>
      <c r="K74" s="4">
        <v>7</v>
      </c>
      <c r="L74" s="4"/>
      <c r="M74" s="4">
        <v>1</v>
      </c>
      <c r="N74" s="8"/>
      <c r="O74" s="4">
        <v>4</v>
      </c>
      <c r="P74" s="4">
        <v>0</v>
      </c>
      <c r="Q74" s="4">
        <v>2</v>
      </c>
      <c r="R74" s="4">
        <v>0</v>
      </c>
      <c r="S74" s="4"/>
    </row>
    <row r="75" spans="1:19" x14ac:dyDescent="0.2">
      <c r="A75" s="1">
        <v>45932</v>
      </c>
      <c r="B75" s="6">
        <v>1</v>
      </c>
      <c r="C75" t="s">
        <v>20</v>
      </c>
      <c r="D75" t="s">
        <v>13</v>
      </c>
      <c r="F75" s="6"/>
      <c r="G75" s="4">
        <v>10</v>
      </c>
      <c r="H75" s="4"/>
      <c r="I75" s="4"/>
      <c r="J75" s="7"/>
      <c r="K75" s="4">
        <v>2</v>
      </c>
      <c r="L75" s="4"/>
      <c r="M75" s="4">
        <v>0</v>
      </c>
      <c r="N75" s="8"/>
      <c r="O75" s="4">
        <v>4</v>
      </c>
      <c r="P75" s="4">
        <v>0</v>
      </c>
      <c r="Q75" s="4">
        <v>1</v>
      </c>
      <c r="R75" s="4">
        <v>0</v>
      </c>
      <c r="S75" s="4"/>
    </row>
    <row r="76" spans="1:19" x14ac:dyDescent="0.2">
      <c r="A76" s="1">
        <v>45932</v>
      </c>
      <c r="B76" s="6">
        <v>1</v>
      </c>
      <c r="C76" t="s">
        <v>9</v>
      </c>
      <c r="D76" t="s">
        <v>13</v>
      </c>
      <c r="F76" s="6"/>
      <c r="G76" s="4">
        <v>10</v>
      </c>
      <c r="H76" s="4"/>
      <c r="I76" s="4"/>
      <c r="J76" s="7"/>
      <c r="K76" s="4">
        <v>12</v>
      </c>
      <c r="L76" s="4"/>
      <c r="M76" s="4">
        <v>0</v>
      </c>
      <c r="N76" s="8"/>
      <c r="O76" s="4">
        <v>6</v>
      </c>
      <c r="P76" s="4">
        <v>2</v>
      </c>
      <c r="Q76" s="4">
        <v>2</v>
      </c>
      <c r="R76" s="4">
        <v>1</v>
      </c>
      <c r="S76" s="4"/>
    </row>
    <row r="77" spans="1:19" x14ac:dyDescent="0.2">
      <c r="A77" s="1">
        <v>45932</v>
      </c>
      <c r="B77" s="6">
        <v>1</v>
      </c>
      <c r="C77" t="s">
        <v>17</v>
      </c>
      <c r="D77" t="s">
        <v>13</v>
      </c>
      <c r="F77" s="6"/>
      <c r="G77" s="4">
        <v>10</v>
      </c>
      <c r="H77" s="4"/>
      <c r="I77" s="4"/>
      <c r="J77" s="7"/>
      <c r="K77" s="4">
        <v>2</v>
      </c>
      <c r="L77" s="4"/>
      <c r="M77" s="4">
        <v>0</v>
      </c>
      <c r="N77" s="8"/>
      <c r="O77" s="4">
        <v>0</v>
      </c>
      <c r="P77" s="4">
        <v>0</v>
      </c>
      <c r="Q77" s="4">
        <v>1</v>
      </c>
      <c r="R77" s="4">
        <v>0</v>
      </c>
      <c r="S77" s="4"/>
    </row>
    <row r="78" spans="1:19" x14ac:dyDescent="0.2">
      <c r="A78" s="1">
        <v>45932</v>
      </c>
      <c r="B78" s="6">
        <v>1</v>
      </c>
      <c r="C78" t="s">
        <v>11</v>
      </c>
      <c r="D78" t="s">
        <v>14</v>
      </c>
      <c r="F78" s="6"/>
      <c r="G78" s="4">
        <v>10</v>
      </c>
      <c r="H78" s="4"/>
      <c r="I78" s="4"/>
      <c r="J78" s="7"/>
      <c r="K78" s="4">
        <v>4</v>
      </c>
      <c r="L78" s="4"/>
      <c r="M78" s="4">
        <v>0</v>
      </c>
      <c r="N78" s="8"/>
      <c r="O78" s="4">
        <v>5</v>
      </c>
      <c r="P78" s="4">
        <v>0</v>
      </c>
      <c r="Q78" s="4">
        <v>0</v>
      </c>
      <c r="R78" s="4">
        <v>0</v>
      </c>
      <c r="S78" s="4"/>
    </row>
    <row r="79" spans="1:19" x14ac:dyDescent="0.2">
      <c r="A79" s="1">
        <v>45932</v>
      </c>
      <c r="B79" s="6">
        <v>1</v>
      </c>
      <c r="C79" t="s">
        <v>19</v>
      </c>
      <c r="D79" t="s">
        <v>14</v>
      </c>
      <c r="F79" s="6"/>
      <c r="G79" s="4">
        <v>10</v>
      </c>
      <c r="H79" s="4"/>
      <c r="I79" s="4"/>
      <c r="J79" s="7"/>
      <c r="K79" s="4">
        <v>5</v>
      </c>
      <c r="L79" s="4"/>
      <c r="M79" s="4">
        <v>1</v>
      </c>
      <c r="N79" s="8"/>
      <c r="O79" s="4">
        <v>2</v>
      </c>
      <c r="P79" s="4">
        <v>2</v>
      </c>
      <c r="Q79" s="4">
        <v>3</v>
      </c>
      <c r="R79" s="4">
        <v>0</v>
      </c>
      <c r="S79" s="4"/>
    </row>
    <row r="80" spans="1:19" x14ac:dyDescent="0.2">
      <c r="A80" s="1">
        <v>45932</v>
      </c>
      <c r="B80" s="6">
        <v>1</v>
      </c>
      <c r="C80" t="s">
        <v>16</v>
      </c>
      <c r="D80" t="s">
        <v>14</v>
      </c>
      <c r="F80" s="6"/>
      <c r="G80" s="4">
        <v>10</v>
      </c>
      <c r="H80" s="4"/>
      <c r="I80" s="4"/>
      <c r="J80" s="7"/>
      <c r="K80" s="4">
        <v>6</v>
      </c>
      <c r="L80" s="4"/>
      <c r="M80" s="4">
        <v>0</v>
      </c>
      <c r="N80" s="8"/>
      <c r="O80" s="4">
        <v>2</v>
      </c>
      <c r="P80" s="4">
        <v>1</v>
      </c>
      <c r="Q80" s="4">
        <v>1</v>
      </c>
      <c r="R80" s="4">
        <v>0</v>
      </c>
      <c r="S80" s="4"/>
    </row>
    <row r="81" spans="1:19" x14ac:dyDescent="0.2">
      <c r="A81" s="1">
        <v>45932</v>
      </c>
      <c r="B81" s="6">
        <v>1</v>
      </c>
      <c r="C81" t="s">
        <v>18</v>
      </c>
      <c r="D81" t="s">
        <v>14</v>
      </c>
      <c r="F81" s="6"/>
      <c r="G81" s="4">
        <v>10</v>
      </c>
      <c r="H81" s="4"/>
      <c r="I81" s="4"/>
      <c r="J81" s="7"/>
      <c r="K81" s="4">
        <v>6</v>
      </c>
      <c r="L81" s="4"/>
      <c r="M81" s="4">
        <v>2</v>
      </c>
      <c r="N81" s="8"/>
      <c r="O81" s="4">
        <v>0</v>
      </c>
      <c r="P81" s="4">
        <v>0</v>
      </c>
      <c r="Q81" s="4">
        <v>1</v>
      </c>
      <c r="R81" s="4">
        <v>0</v>
      </c>
      <c r="S81" s="4"/>
    </row>
    <row r="82" spans="1:19" x14ac:dyDescent="0.2">
      <c r="A82" s="1">
        <v>45939</v>
      </c>
      <c r="B82" s="6">
        <v>1</v>
      </c>
      <c r="C82" t="s">
        <v>7</v>
      </c>
      <c r="D82" t="s">
        <v>13</v>
      </c>
      <c r="F82" s="6"/>
      <c r="G82" s="4">
        <v>11</v>
      </c>
      <c r="H82" s="4"/>
      <c r="I82" s="4"/>
      <c r="J82" s="7"/>
      <c r="K82" s="4">
        <v>10</v>
      </c>
      <c r="L82" s="4"/>
      <c r="M82" s="4">
        <v>0</v>
      </c>
      <c r="N82" s="8"/>
      <c r="O82" s="4">
        <v>17</v>
      </c>
      <c r="P82" s="4"/>
      <c r="Q82" s="4">
        <v>2</v>
      </c>
      <c r="R82" s="4"/>
      <c r="S82" s="4"/>
    </row>
    <row r="83" spans="1:19" x14ac:dyDescent="0.2">
      <c r="A83" s="1">
        <v>45939</v>
      </c>
      <c r="B83" s="6">
        <v>1</v>
      </c>
      <c r="C83" t="s">
        <v>20</v>
      </c>
      <c r="D83" t="s">
        <v>13</v>
      </c>
      <c r="F83" s="6"/>
      <c r="G83" s="4">
        <v>11</v>
      </c>
      <c r="H83" s="4"/>
      <c r="I83" s="4"/>
      <c r="J83" s="7"/>
      <c r="K83" s="4">
        <v>3</v>
      </c>
      <c r="L83" s="4"/>
      <c r="M83" s="4">
        <v>1</v>
      </c>
      <c r="N83" s="8"/>
      <c r="O83" s="4">
        <v>7</v>
      </c>
      <c r="P83" s="4"/>
      <c r="Q83" s="4">
        <v>1</v>
      </c>
      <c r="R83" s="4"/>
      <c r="S83" s="4"/>
    </row>
    <row r="84" spans="1:19" x14ac:dyDescent="0.2">
      <c r="A84" s="1">
        <v>45939</v>
      </c>
      <c r="B84" s="6">
        <v>1</v>
      </c>
      <c r="C84" t="s">
        <v>9</v>
      </c>
      <c r="D84" t="s">
        <v>13</v>
      </c>
      <c r="F84" s="6"/>
      <c r="G84" s="4">
        <v>11</v>
      </c>
      <c r="H84" s="4"/>
      <c r="I84" s="4"/>
      <c r="J84" s="7"/>
      <c r="K84" s="4">
        <v>9</v>
      </c>
      <c r="L84" s="4"/>
      <c r="M84" s="4">
        <v>1</v>
      </c>
      <c r="N84" s="8"/>
      <c r="O84" s="4">
        <v>11</v>
      </c>
      <c r="P84" s="4"/>
      <c r="Q84" s="4">
        <v>3</v>
      </c>
      <c r="R84" s="4"/>
    </row>
    <row r="85" spans="1:19" x14ac:dyDescent="0.2">
      <c r="A85" s="1">
        <v>45939</v>
      </c>
      <c r="B85" s="6">
        <v>1</v>
      </c>
      <c r="C85" t="s">
        <v>17</v>
      </c>
      <c r="D85" t="s">
        <v>13</v>
      </c>
      <c r="F85" s="6"/>
      <c r="G85" s="4">
        <v>11</v>
      </c>
      <c r="H85" s="4"/>
      <c r="I85" s="4"/>
      <c r="J85" s="7"/>
      <c r="K85" s="4">
        <v>3</v>
      </c>
      <c r="L85" s="4"/>
      <c r="M85" s="4">
        <v>1</v>
      </c>
      <c r="N85" s="8"/>
      <c r="O85" s="4">
        <v>2</v>
      </c>
      <c r="P85" s="4"/>
      <c r="Q85" s="4">
        <v>0</v>
      </c>
      <c r="R85" s="4"/>
    </row>
    <row r="86" spans="1:19" x14ac:dyDescent="0.2">
      <c r="A86" s="1">
        <v>45939</v>
      </c>
      <c r="B86" s="6">
        <v>1</v>
      </c>
      <c r="C86" t="s">
        <v>11</v>
      </c>
      <c r="D86" t="s">
        <v>14</v>
      </c>
      <c r="F86" s="6"/>
      <c r="G86" s="4">
        <v>11</v>
      </c>
      <c r="H86" s="4"/>
      <c r="I86" s="4"/>
      <c r="J86" s="7"/>
      <c r="K86" s="4">
        <v>2</v>
      </c>
      <c r="L86" s="4"/>
      <c r="M86" s="4">
        <v>0</v>
      </c>
      <c r="N86" s="8"/>
      <c r="O86" s="4">
        <v>5</v>
      </c>
      <c r="P86" s="4"/>
      <c r="Q86" s="4">
        <v>0</v>
      </c>
      <c r="R86" s="4"/>
    </row>
    <row r="87" spans="1:19" x14ac:dyDescent="0.2">
      <c r="A87" s="1">
        <v>45939</v>
      </c>
      <c r="B87" s="6">
        <v>1</v>
      </c>
      <c r="C87" t="s">
        <v>19</v>
      </c>
      <c r="D87" t="s">
        <v>14</v>
      </c>
      <c r="F87" s="6"/>
      <c r="G87" s="4">
        <v>11</v>
      </c>
      <c r="H87" s="4"/>
      <c r="I87" s="4"/>
      <c r="J87" s="7"/>
      <c r="K87" s="4">
        <v>10</v>
      </c>
      <c r="L87" s="4"/>
      <c r="M87" s="4">
        <v>2</v>
      </c>
      <c r="N87" s="8"/>
      <c r="O87" s="4">
        <v>16</v>
      </c>
      <c r="P87" s="4"/>
      <c r="Q87" s="4">
        <v>3</v>
      </c>
      <c r="R87" s="4"/>
    </row>
    <row r="88" spans="1:19" x14ac:dyDescent="0.2">
      <c r="A88" s="1">
        <v>45939</v>
      </c>
      <c r="B88" s="6">
        <v>1</v>
      </c>
      <c r="C88" t="s">
        <v>16</v>
      </c>
      <c r="D88" t="s">
        <v>14</v>
      </c>
      <c r="F88" s="6"/>
      <c r="G88" s="4">
        <v>11</v>
      </c>
      <c r="H88" s="4"/>
      <c r="I88" s="4"/>
      <c r="J88" s="7"/>
      <c r="K88" s="4">
        <v>5</v>
      </c>
      <c r="L88" s="4"/>
      <c r="M88" s="4">
        <v>1</v>
      </c>
      <c r="N88" s="8"/>
      <c r="O88" s="4">
        <v>8</v>
      </c>
      <c r="P88" s="4"/>
      <c r="Q88" s="4">
        <v>0</v>
      </c>
      <c r="R88" s="4"/>
    </row>
    <row r="89" spans="1:19" x14ac:dyDescent="0.2">
      <c r="A89" s="1">
        <v>45939</v>
      </c>
      <c r="B89" s="6">
        <v>1</v>
      </c>
      <c r="C89" t="s">
        <v>18</v>
      </c>
      <c r="D89" t="s">
        <v>14</v>
      </c>
      <c r="F89" s="6"/>
      <c r="G89" s="4">
        <v>11</v>
      </c>
      <c r="H89" s="4"/>
      <c r="I89" s="4"/>
      <c r="J89" s="7"/>
      <c r="K89" s="4">
        <v>3</v>
      </c>
      <c r="L89" s="4"/>
      <c r="M89" s="4">
        <v>1</v>
      </c>
      <c r="N89" s="8"/>
      <c r="O89" s="4">
        <v>3</v>
      </c>
      <c r="P89" s="4"/>
      <c r="Q89" s="4">
        <v>1</v>
      </c>
      <c r="R89" s="4"/>
    </row>
    <row r="90" spans="1:19" x14ac:dyDescent="0.2">
      <c r="A90" s="1">
        <v>45939</v>
      </c>
      <c r="B90" s="6">
        <v>1</v>
      </c>
      <c r="C90" t="s">
        <v>7</v>
      </c>
      <c r="D90" t="s">
        <v>13</v>
      </c>
      <c r="F90" s="6"/>
      <c r="G90" s="4">
        <v>12</v>
      </c>
      <c r="H90" s="4"/>
      <c r="I90" s="4"/>
      <c r="J90" s="7"/>
      <c r="K90" s="4">
        <v>19</v>
      </c>
      <c r="L90" s="4"/>
      <c r="M90" s="4">
        <v>1</v>
      </c>
      <c r="N90" s="8"/>
      <c r="O90" s="4">
        <v>10</v>
      </c>
      <c r="P90" s="4">
        <v>7</v>
      </c>
      <c r="Q90" s="4">
        <v>3</v>
      </c>
      <c r="R90" s="4"/>
    </row>
    <row r="91" spans="1:19" x14ac:dyDescent="0.2">
      <c r="A91" s="1">
        <v>45939</v>
      </c>
      <c r="B91" s="6">
        <v>1</v>
      </c>
      <c r="C91" t="s">
        <v>20</v>
      </c>
      <c r="D91" t="s">
        <v>13</v>
      </c>
      <c r="F91" s="6"/>
      <c r="G91" s="4">
        <v>12</v>
      </c>
      <c r="H91" s="4"/>
      <c r="I91" s="4"/>
      <c r="J91" s="7"/>
      <c r="K91" s="4">
        <v>7</v>
      </c>
      <c r="L91" s="4"/>
      <c r="M91" s="4">
        <v>1</v>
      </c>
      <c r="N91" s="8"/>
      <c r="O91" s="4">
        <v>11</v>
      </c>
      <c r="P91" s="4">
        <v>5</v>
      </c>
      <c r="Q91" s="4">
        <v>5</v>
      </c>
      <c r="R91" s="4"/>
    </row>
    <row r="92" spans="1:19" x14ac:dyDescent="0.2">
      <c r="A92" s="1">
        <v>45939</v>
      </c>
      <c r="B92" s="6">
        <v>1</v>
      </c>
      <c r="C92" t="s">
        <v>9</v>
      </c>
      <c r="D92" t="s">
        <v>13</v>
      </c>
      <c r="F92" s="6"/>
      <c r="G92" s="4">
        <v>12</v>
      </c>
      <c r="H92" s="4"/>
      <c r="I92" s="4"/>
      <c r="J92" s="7"/>
      <c r="K92" s="4">
        <v>18</v>
      </c>
      <c r="L92" s="4"/>
      <c r="M92" s="4">
        <v>0</v>
      </c>
      <c r="N92" s="8"/>
      <c r="O92" s="4">
        <v>5</v>
      </c>
      <c r="P92" s="4">
        <v>3</v>
      </c>
      <c r="Q92" s="4">
        <v>3</v>
      </c>
      <c r="R92" s="4"/>
    </row>
    <row r="93" spans="1:19" x14ac:dyDescent="0.2">
      <c r="A93" s="1">
        <v>45939</v>
      </c>
      <c r="B93" s="6">
        <v>1</v>
      </c>
      <c r="C93" t="s">
        <v>11</v>
      </c>
      <c r="D93" t="s">
        <v>14</v>
      </c>
      <c r="F93" s="6"/>
      <c r="G93" s="4">
        <v>12</v>
      </c>
      <c r="H93" s="4"/>
      <c r="I93" s="4"/>
      <c r="J93" s="7"/>
      <c r="K93" s="4">
        <v>7</v>
      </c>
      <c r="L93" s="4"/>
      <c r="M93" s="4">
        <v>1</v>
      </c>
      <c r="N93" s="8"/>
      <c r="O93" s="4">
        <v>4</v>
      </c>
      <c r="P93" s="4">
        <v>7</v>
      </c>
      <c r="Q93" s="4">
        <v>2</v>
      </c>
      <c r="R93" s="4"/>
    </row>
    <row r="94" spans="1:19" x14ac:dyDescent="0.2">
      <c r="A94" s="1">
        <v>45939</v>
      </c>
      <c r="B94" s="6">
        <v>1</v>
      </c>
      <c r="C94" t="s">
        <v>19</v>
      </c>
      <c r="D94" t="s">
        <v>14</v>
      </c>
      <c r="F94" s="6"/>
      <c r="G94" s="4">
        <v>12</v>
      </c>
      <c r="H94" s="4"/>
      <c r="I94" s="4"/>
      <c r="J94" s="7"/>
      <c r="K94" s="4">
        <v>15</v>
      </c>
      <c r="L94" s="4"/>
      <c r="M94" s="4">
        <v>3</v>
      </c>
      <c r="N94" s="8"/>
      <c r="O94" s="4">
        <v>5</v>
      </c>
      <c r="P94" s="4">
        <v>3</v>
      </c>
      <c r="Q94" s="4">
        <v>5</v>
      </c>
      <c r="R94" s="4"/>
    </row>
    <row r="95" spans="1:19" x14ac:dyDescent="0.2">
      <c r="A95" s="1">
        <v>45939</v>
      </c>
      <c r="B95" s="6">
        <v>1</v>
      </c>
      <c r="C95" t="s">
        <v>16</v>
      </c>
      <c r="D95" t="s">
        <v>14</v>
      </c>
      <c r="F95" s="6"/>
      <c r="G95" s="4">
        <v>12</v>
      </c>
      <c r="H95" s="4"/>
      <c r="I95" s="4"/>
      <c r="J95" s="7"/>
      <c r="K95" s="4">
        <v>14</v>
      </c>
      <c r="L95" s="4"/>
      <c r="M95" s="4">
        <v>2</v>
      </c>
      <c r="N95" s="8"/>
      <c r="O95" s="4">
        <v>9</v>
      </c>
      <c r="P95" s="4">
        <v>2</v>
      </c>
      <c r="Q95" s="4">
        <v>1</v>
      </c>
      <c r="R95" s="4"/>
    </row>
    <row r="96" spans="1:19" x14ac:dyDescent="0.2">
      <c r="A96" s="1">
        <v>45939</v>
      </c>
      <c r="B96" s="6">
        <v>1</v>
      </c>
      <c r="C96" t="s">
        <v>7</v>
      </c>
      <c r="D96" t="s">
        <v>13</v>
      </c>
      <c r="F96" s="6"/>
      <c r="G96" s="4">
        <v>13</v>
      </c>
      <c r="H96" s="4"/>
      <c r="I96" s="4"/>
      <c r="J96" s="7"/>
      <c r="K96" s="4">
        <v>4</v>
      </c>
      <c r="L96" s="4"/>
      <c r="M96" s="4">
        <v>0</v>
      </c>
      <c r="N96" s="8"/>
      <c r="O96" s="4">
        <v>10</v>
      </c>
      <c r="P96" s="4">
        <v>2</v>
      </c>
      <c r="Q96" s="4">
        <v>3</v>
      </c>
      <c r="R96" s="4"/>
    </row>
    <row r="97" spans="1:18" x14ac:dyDescent="0.2">
      <c r="A97" s="1">
        <v>45939</v>
      </c>
      <c r="B97" s="6">
        <v>1</v>
      </c>
      <c r="C97" t="s">
        <v>9</v>
      </c>
      <c r="D97" t="s">
        <v>13</v>
      </c>
      <c r="F97" s="6"/>
      <c r="G97" s="4">
        <v>13</v>
      </c>
      <c r="H97" s="4"/>
      <c r="I97" s="4"/>
      <c r="J97" s="7"/>
      <c r="K97" s="4">
        <v>7</v>
      </c>
      <c r="L97" s="4"/>
      <c r="M97" s="4">
        <v>1</v>
      </c>
      <c r="N97" s="8"/>
      <c r="O97" s="4">
        <v>8</v>
      </c>
      <c r="P97" s="4">
        <v>2</v>
      </c>
      <c r="Q97" s="4">
        <v>4</v>
      </c>
      <c r="R97" s="4"/>
    </row>
    <row r="98" spans="1:18" x14ac:dyDescent="0.2">
      <c r="A98" s="1">
        <v>45939</v>
      </c>
      <c r="B98" s="6">
        <v>1</v>
      </c>
      <c r="C98" t="s">
        <v>17</v>
      </c>
      <c r="D98" t="s">
        <v>13</v>
      </c>
      <c r="F98" s="6"/>
      <c r="G98" s="4">
        <v>13</v>
      </c>
      <c r="H98" s="4"/>
      <c r="I98" s="4"/>
      <c r="J98" s="7"/>
      <c r="K98" s="4">
        <v>9</v>
      </c>
      <c r="L98" s="4"/>
      <c r="M98" s="4">
        <v>3</v>
      </c>
      <c r="N98" s="8"/>
      <c r="O98" s="4">
        <v>2</v>
      </c>
      <c r="P98" s="4">
        <v>1</v>
      </c>
      <c r="Q98" s="4">
        <v>1</v>
      </c>
      <c r="R98" s="4"/>
    </row>
    <row r="99" spans="1:18" x14ac:dyDescent="0.2">
      <c r="A99" s="1">
        <v>45939</v>
      </c>
      <c r="B99" s="6">
        <v>1</v>
      </c>
      <c r="C99" t="s">
        <v>11</v>
      </c>
      <c r="D99" t="s">
        <v>14</v>
      </c>
      <c r="F99" s="6"/>
      <c r="G99" s="4">
        <v>13</v>
      </c>
      <c r="H99" s="4"/>
      <c r="I99" s="4"/>
      <c r="J99" s="7"/>
      <c r="K99" s="4">
        <v>0</v>
      </c>
      <c r="L99" s="4"/>
      <c r="M99" s="4">
        <v>0</v>
      </c>
      <c r="N99" s="8"/>
      <c r="O99" s="4">
        <v>5</v>
      </c>
      <c r="P99" s="4">
        <v>3</v>
      </c>
      <c r="Q99" s="4">
        <v>0</v>
      </c>
      <c r="R99" s="4"/>
    </row>
    <row r="100" spans="1:18" x14ac:dyDescent="0.2">
      <c r="A100" s="1">
        <v>45939</v>
      </c>
      <c r="B100" s="6">
        <v>1</v>
      </c>
      <c r="C100" t="s">
        <v>19</v>
      </c>
      <c r="D100" t="s">
        <v>14</v>
      </c>
      <c r="F100" s="6"/>
      <c r="G100" s="4">
        <v>13</v>
      </c>
      <c r="H100" s="4"/>
      <c r="I100" s="4"/>
      <c r="J100" s="7"/>
      <c r="K100" s="4">
        <v>18</v>
      </c>
      <c r="L100" s="4"/>
      <c r="M100" s="4">
        <v>4</v>
      </c>
      <c r="N100" s="8"/>
      <c r="O100" s="4">
        <v>12</v>
      </c>
      <c r="P100" s="4">
        <v>1</v>
      </c>
      <c r="Q100" s="4">
        <v>0</v>
      </c>
      <c r="R100" s="4"/>
    </row>
    <row r="101" spans="1:18" x14ac:dyDescent="0.2">
      <c r="A101" s="1">
        <v>45939</v>
      </c>
      <c r="B101" s="6">
        <v>1</v>
      </c>
      <c r="C101" t="s">
        <v>16</v>
      </c>
      <c r="D101" t="s">
        <v>14</v>
      </c>
      <c r="F101" s="6"/>
      <c r="G101" s="4">
        <v>13</v>
      </c>
      <c r="H101" s="4"/>
      <c r="I101" s="4"/>
      <c r="J101" s="7"/>
      <c r="K101" s="4">
        <v>2</v>
      </c>
      <c r="L101" s="4"/>
      <c r="M101" s="4">
        <v>0</v>
      </c>
      <c r="N101" s="8"/>
      <c r="O101" s="4">
        <v>8</v>
      </c>
      <c r="P101" s="4">
        <v>2</v>
      </c>
      <c r="Q101" s="4">
        <v>1</v>
      </c>
      <c r="R101" s="4"/>
    </row>
    <row r="102" spans="1:18" x14ac:dyDescent="0.2">
      <c r="A102" s="1">
        <v>45960</v>
      </c>
      <c r="B102" s="6">
        <v>1</v>
      </c>
      <c r="C102" t="s">
        <v>7</v>
      </c>
      <c r="D102" t="s">
        <v>13</v>
      </c>
      <c r="F102" s="6"/>
      <c r="G102" s="4">
        <v>14</v>
      </c>
      <c r="H102" s="4"/>
      <c r="I102" s="4"/>
      <c r="J102" s="7"/>
      <c r="K102" s="4">
        <v>6</v>
      </c>
      <c r="L102" s="4"/>
      <c r="M102" s="4">
        <v>0</v>
      </c>
      <c r="N102" s="8"/>
      <c r="O102" s="4">
        <v>8</v>
      </c>
      <c r="P102" s="4">
        <v>2</v>
      </c>
      <c r="Q102" s="4">
        <v>1</v>
      </c>
      <c r="R102" s="4"/>
    </row>
    <row r="103" spans="1:18" x14ac:dyDescent="0.2">
      <c r="A103" s="1">
        <v>45960</v>
      </c>
      <c r="B103" s="6">
        <v>1</v>
      </c>
      <c r="C103" t="s">
        <v>20</v>
      </c>
      <c r="D103" t="s">
        <v>13</v>
      </c>
      <c r="F103" s="6"/>
      <c r="G103" s="4">
        <v>14</v>
      </c>
      <c r="H103" s="4"/>
      <c r="I103" s="4"/>
      <c r="J103" s="7"/>
      <c r="K103" s="4">
        <v>12</v>
      </c>
      <c r="L103" s="4"/>
      <c r="M103" s="4">
        <v>2</v>
      </c>
      <c r="N103" s="8"/>
      <c r="O103" s="4">
        <v>6</v>
      </c>
      <c r="P103" s="4">
        <v>4</v>
      </c>
      <c r="Q103" s="4">
        <v>0</v>
      </c>
      <c r="R103" s="4"/>
    </row>
    <row r="104" spans="1:18" x14ac:dyDescent="0.2">
      <c r="A104" s="1">
        <v>45960</v>
      </c>
      <c r="B104" s="6">
        <v>1</v>
      </c>
      <c r="C104" t="s">
        <v>9</v>
      </c>
      <c r="D104" t="s">
        <v>13</v>
      </c>
      <c r="F104" s="6"/>
      <c r="G104" s="4">
        <v>14</v>
      </c>
      <c r="H104" s="4"/>
      <c r="I104" s="4"/>
      <c r="J104" s="7"/>
      <c r="K104" s="4">
        <v>5</v>
      </c>
      <c r="L104" s="4"/>
      <c r="M104" s="4">
        <v>1</v>
      </c>
      <c r="N104" s="8"/>
      <c r="O104" s="4">
        <v>8</v>
      </c>
      <c r="P104" s="4">
        <v>1</v>
      </c>
      <c r="Q104" s="4">
        <v>5</v>
      </c>
      <c r="R104" s="4"/>
    </row>
    <row r="105" spans="1:18" x14ac:dyDescent="0.2">
      <c r="A105" s="1">
        <v>45960</v>
      </c>
      <c r="B105" s="6">
        <v>1</v>
      </c>
      <c r="C105" t="s">
        <v>17</v>
      </c>
      <c r="D105" t="s">
        <v>13</v>
      </c>
      <c r="F105" s="6"/>
      <c r="G105" s="4">
        <v>14</v>
      </c>
      <c r="H105" s="4"/>
      <c r="I105" s="4"/>
      <c r="J105" s="7"/>
      <c r="K105" s="4">
        <v>0</v>
      </c>
      <c r="L105" s="4"/>
      <c r="M105" s="4">
        <v>0</v>
      </c>
      <c r="N105" s="8"/>
      <c r="O105" s="4">
        <v>2</v>
      </c>
      <c r="P105" s="4">
        <v>3</v>
      </c>
      <c r="Q105" s="4">
        <v>2</v>
      </c>
      <c r="R105" s="4"/>
    </row>
    <row r="106" spans="1:18" x14ac:dyDescent="0.2">
      <c r="A106" s="1">
        <v>45960</v>
      </c>
      <c r="B106" s="6">
        <v>1</v>
      </c>
      <c r="C106" t="s">
        <v>11</v>
      </c>
      <c r="D106" t="s">
        <v>14</v>
      </c>
      <c r="F106" s="6"/>
      <c r="G106" s="4">
        <v>14</v>
      </c>
      <c r="H106" s="4"/>
      <c r="I106" s="4"/>
      <c r="J106" s="7"/>
      <c r="K106" s="4">
        <v>0</v>
      </c>
      <c r="L106" s="4"/>
      <c r="M106" s="4">
        <v>0</v>
      </c>
      <c r="N106" s="8"/>
      <c r="O106" s="4">
        <v>3</v>
      </c>
      <c r="P106" s="4">
        <v>3</v>
      </c>
      <c r="Q106" s="4">
        <v>1</v>
      </c>
      <c r="R106" s="4"/>
    </row>
    <row r="107" spans="1:18" x14ac:dyDescent="0.2">
      <c r="A107" s="1">
        <v>45960</v>
      </c>
      <c r="B107" s="6">
        <v>1</v>
      </c>
      <c r="C107" t="s">
        <v>19</v>
      </c>
      <c r="D107" t="s">
        <v>14</v>
      </c>
      <c r="F107" s="6"/>
      <c r="G107" s="4">
        <v>14</v>
      </c>
      <c r="H107" s="4"/>
      <c r="I107" s="4"/>
      <c r="J107" s="7"/>
      <c r="K107" s="4">
        <v>2</v>
      </c>
      <c r="L107" s="4"/>
      <c r="M107" s="4">
        <v>0</v>
      </c>
      <c r="N107" s="8"/>
      <c r="O107" s="4">
        <v>5</v>
      </c>
      <c r="P107" s="4">
        <v>6</v>
      </c>
      <c r="Q107" s="4">
        <v>3</v>
      </c>
      <c r="R107" s="4"/>
    </row>
    <row r="108" spans="1:18" x14ac:dyDescent="0.2">
      <c r="A108" s="1">
        <v>45960</v>
      </c>
      <c r="B108" s="6">
        <v>1</v>
      </c>
      <c r="C108" t="s">
        <v>16</v>
      </c>
      <c r="D108" t="s">
        <v>14</v>
      </c>
      <c r="F108" s="6"/>
      <c r="G108" s="4">
        <v>14</v>
      </c>
      <c r="H108" s="4"/>
      <c r="I108" s="4"/>
      <c r="J108" s="7"/>
      <c r="K108" s="4">
        <v>10</v>
      </c>
      <c r="L108" s="4"/>
      <c r="M108" s="4">
        <v>0</v>
      </c>
      <c r="N108" s="8"/>
      <c r="O108" s="4">
        <v>6</v>
      </c>
      <c r="P108" s="4">
        <v>3</v>
      </c>
      <c r="Q108" s="4">
        <v>2</v>
      </c>
      <c r="R108" s="4"/>
    </row>
    <row r="109" spans="1:18" x14ac:dyDescent="0.2">
      <c r="A109" s="1">
        <v>45960</v>
      </c>
      <c r="B109" s="6">
        <v>1</v>
      </c>
      <c r="C109" t="s">
        <v>18</v>
      </c>
      <c r="D109" t="s">
        <v>14</v>
      </c>
      <c r="F109" s="6"/>
      <c r="G109" s="4">
        <v>14</v>
      </c>
      <c r="H109" s="4"/>
      <c r="I109" s="4"/>
      <c r="J109" s="7"/>
      <c r="K109" s="4">
        <v>7</v>
      </c>
      <c r="L109" s="4"/>
      <c r="M109" s="4">
        <v>1</v>
      </c>
      <c r="N109" s="8"/>
      <c r="O109" s="4">
        <v>0</v>
      </c>
      <c r="P109" s="4">
        <v>1</v>
      </c>
      <c r="Q109" s="4">
        <v>3</v>
      </c>
      <c r="R109" s="4"/>
    </row>
    <row r="110" spans="1:18" x14ac:dyDescent="0.2">
      <c r="A110" s="1">
        <v>45960</v>
      </c>
      <c r="B110" s="6">
        <v>1</v>
      </c>
      <c r="C110" t="s">
        <v>7</v>
      </c>
      <c r="D110" t="s">
        <v>13</v>
      </c>
      <c r="F110" s="6"/>
      <c r="G110" s="4">
        <v>15</v>
      </c>
      <c r="H110" s="4"/>
      <c r="I110" s="4"/>
      <c r="J110" s="7"/>
      <c r="K110" s="4">
        <v>16</v>
      </c>
      <c r="L110" s="4"/>
      <c r="M110" s="4">
        <v>0</v>
      </c>
      <c r="N110" s="8"/>
      <c r="O110" s="4">
        <v>12</v>
      </c>
      <c r="P110" s="4">
        <v>2</v>
      </c>
      <c r="Q110" s="4">
        <v>2</v>
      </c>
      <c r="R110" s="4"/>
    </row>
    <row r="111" spans="1:18" x14ac:dyDescent="0.2">
      <c r="A111" s="1">
        <v>45960</v>
      </c>
      <c r="B111" s="6">
        <v>1</v>
      </c>
      <c r="C111" t="s">
        <v>20</v>
      </c>
      <c r="D111" t="s">
        <v>13</v>
      </c>
      <c r="F111" s="6"/>
      <c r="G111" s="4">
        <v>15</v>
      </c>
      <c r="H111" s="4"/>
      <c r="I111" s="4"/>
      <c r="J111" s="7"/>
      <c r="K111" s="4">
        <v>4</v>
      </c>
      <c r="L111" s="4"/>
      <c r="M111" s="4">
        <v>0</v>
      </c>
      <c r="N111" s="8"/>
      <c r="O111" s="4">
        <v>3</v>
      </c>
      <c r="P111" s="4">
        <v>1</v>
      </c>
      <c r="Q111" s="4">
        <v>3</v>
      </c>
      <c r="R111" s="4"/>
    </row>
    <row r="112" spans="1:18" x14ac:dyDescent="0.2">
      <c r="A112" s="1">
        <v>45960</v>
      </c>
      <c r="B112" s="6">
        <v>1</v>
      </c>
      <c r="C112" t="s">
        <v>9</v>
      </c>
      <c r="D112" t="s">
        <v>13</v>
      </c>
      <c r="F112" s="6"/>
      <c r="G112" s="4">
        <v>15</v>
      </c>
      <c r="H112" s="4"/>
      <c r="I112" s="4"/>
      <c r="J112" s="7"/>
      <c r="K112" s="4">
        <v>5</v>
      </c>
      <c r="L112" s="4"/>
      <c r="M112" s="4">
        <v>1</v>
      </c>
      <c r="N112" s="8"/>
      <c r="O112" s="4">
        <v>7</v>
      </c>
      <c r="P112" s="4">
        <v>2</v>
      </c>
      <c r="Q112" s="4">
        <v>4</v>
      </c>
      <c r="R112" s="4"/>
    </row>
    <row r="113" spans="1:18" x14ac:dyDescent="0.2">
      <c r="A113" s="1">
        <v>45960</v>
      </c>
      <c r="B113" s="6">
        <v>1</v>
      </c>
      <c r="C113" t="s">
        <v>17</v>
      </c>
      <c r="D113" t="s">
        <v>13</v>
      </c>
      <c r="F113" s="6"/>
      <c r="G113" s="4">
        <v>15</v>
      </c>
      <c r="H113" s="4"/>
      <c r="I113" s="4"/>
      <c r="J113" s="7"/>
      <c r="K113" s="4">
        <v>2</v>
      </c>
      <c r="L113" s="4"/>
      <c r="M113" s="4">
        <v>0</v>
      </c>
      <c r="N113" s="8"/>
      <c r="O113" s="4">
        <v>3</v>
      </c>
      <c r="P113" s="4">
        <v>1</v>
      </c>
      <c r="Q113" s="4">
        <v>0</v>
      </c>
      <c r="R113" s="4"/>
    </row>
    <row r="114" spans="1:18" x14ac:dyDescent="0.2">
      <c r="A114" s="1">
        <v>45960</v>
      </c>
      <c r="B114" s="6">
        <v>1</v>
      </c>
      <c r="C114" t="s">
        <v>11</v>
      </c>
      <c r="D114" t="s">
        <v>14</v>
      </c>
      <c r="F114" s="6"/>
      <c r="G114" s="4">
        <v>15</v>
      </c>
      <c r="H114" s="4"/>
      <c r="I114" s="4"/>
      <c r="J114" s="7"/>
      <c r="K114" s="4">
        <v>0</v>
      </c>
      <c r="L114" s="4"/>
      <c r="M114" s="4">
        <v>0</v>
      </c>
      <c r="N114" s="8"/>
      <c r="O114" s="4">
        <v>6</v>
      </c>
      <c r="P114" s="4">
        <v>6</v>
      </c>
      <c r="Q114" s="4">
        <v>1</v>
      </c>
      <c r="R114" s="4"/>
    </row>
    <row r="115" spans="1:18" x14ac:dyDescent="0.2">
      <c r="A115" s="1">
        <v>45960</v>
      </c>
      <c r="B115" s="6">
        <v>1</v>
      </c>
      <c r="C115" t="s">
        <v>19</v>
      </c>
      <c r="D115" t="s">
        <v>14</v>
      </c>
      <c r="F115" s="6"/>
      <c r="G115" s="4">
        <v>15</v>
      </c>
      <c r="H115" s="4"/>
      <c r="I115" s="4"/>
      <c r="J115" s="7"/>
      <c r="K115" s="4">
        <v>3</v>
      </c>
      <c r="L115" s="4"/>
      <c r="M115" s="4">
        <v>1</v>
      </c>
      <c r="N115" s="8"/>
      <c r="O115" s="4">
        <v>3</v>
      </c>
      <c r="P115" s="4">
        <v>1</v>
      </c>
      <c r="Q115" s="4">
        <v>6</v>
      </c>
      <c r="R115" s="4"/>
    </row>
    <row r="116" spans="1:18" x14ac:dyDescent="0.2">
      <c r="A116" s="1">
        <v>45960</v>
      </c>
      <c r="B116" s="6">
        <v>1</v>
      </c>
      <c r="C116" t="s">
        <v>16</v>
      </c>
      <c r="D116" t="s">
        <v>14</v>
      </c>
      <c r="F116" s="6"/>
      <c r="G116" s="4">
        <v>15</v>
      </c>
      <c r="H116" s="4"/>
      <c r="I116" s="4"/>
      <c r="J116" s="7"/>
      <c r="K116" s="4">
        <v>16</v>
      </c>
      <c r="L116" s="4"/>
      <c r="M116" s="4">
        <v>0</v>
      </c>
      <c r="N116" s="8"/>
      <c r="O116" s="4">
        <v>6</v>
      </c>
      <c r="P116" s="4">
        <v>3</v>
      </c>
      <c r="Q116" s="4">
        <v>0</v>
      </c>
      <c r="R116" s="4"/>
    </row>
    <row r="117" spans="1:18" x14ac:dyDescent="0.2">
      <c r="A117" s="1">
        <v>45960</v>
      </c>
      <c r="B117" s="6">
        <v>1</v>
      </c>
      <c r="C117" t="s">
        <v>18</v>
      </c>
      <c r="D117" t="s">
        <v>14</v>
      </c>
      <c r="F117" s="6"/>
      <c r="G117" s="4">
        <v>15</v>
      </c>
      <c r="H117" s="4"/>
      <c r="I117" s="4"/>
      <c r="J117" s="7"/>
      <c r="K117" s="4">
        <v>9</v>
      </c>
      <c r="L117" s="4"/>
      <c r="M117" s="4">
        <v>1</v>
      </c>
      <c r="N117" s="8"/>
      <c r="O117" s="4">
        <v>1</v>
      </c>
      <c r="P117" s="4">
        <v>2</v>
      </c>
      <c r="Q117" s="4">
        <v>0</v>
      </c>
      <c r="R117" s="4"/>
    </row>
    <row r="118" spans="1:18" x14ac:dyDescent="0.2">
      <c r="A118" s="1">
        <v>45960</v>
      </c>
      <c r="B118" s="6">
        <v>1</v>
      </c>
      <c r="C118" t="s">
        <v>7</v>
      </c>
      <c r="D118" t="s">
        <v>13</v>
      </c>
      <c r="F118" s="6"/>
      <c r="G118" s="4">
        <v>16</v>
      </c>
      <c r="H118" s="4"/>
      <c r="I118" s="4"/>
      <c r="J118" s="7"/>
      <c r="K118" s="4">
        <v>11</v>
      </c>
      <c r="L118" s="4"/>
      <c r="M118" s="4">
        <v>1</v>
      </c>
      <c r="N118" s="8"/>
      <c r="O118" s="4">
        <v>5</v>
      </c>
      <c r="P118" s="4">
        <v>1</v>
      </c>
      <c r="Q118" s="4">
        <v>3</v>
      </c>
      <c r="R118" s="4"/>
    </row>
    <row r="119" spans="1:18" x14ac:dyDescent="0.2">
      <c r="A119" s="1">
        <v>45960</v>
      </c>
      <c r="B119" s="6">
        <v>1</v>
      </c>
      <c r="C119" t="s">
        <v>20</v>
      </c>
      <c r="D119" t="s">
        <v>13</v>
      </c>
      <c r="F119" s="6"/>
      <c r="G119" s="4">
        <v>16</v>
      </c>
      <c r="H119" s="4"/>
      <c r="I119" s="4"/>
      <c r="J119" s="7"/>
      <c r="K119" s="4">
        <v>7</v>
      </c>
      <c r="L119" s="4"/>
      <c r="M119" s="4">
        <v>1</v>
      </c>
      <c r="N119" s="8"/>
      <c r="O119" s="4">
        <v>6</v>
      </c>
      <c r="P119" s="4">
        <v>0</v>
      </c>
      <c r="Q119" s="4">
        <v>3</v>
      </c>
      <c r="R119" s="4"/>
    </row>
    <row r="120" spans="1:18" x14ac:dyDescent="0.2">
      <c r="A120" s="1">
        <v>45960</v>
      </c>
      <c r="B120" s="6">
        <v>1</v>
      </c>
      <c r="C120" t="s">
        <v>9</v>
      </c>
      <c r="D120" t="s">
        <v>13</v>
      </c>
      <c r="F120" s="6"/>
      <c r="G120" s="4">
        <v>16</v>
      </c>
      <c r="H120" s="4"/>
      <c r="I120" s="4"/>
      <c r="J120" s="7"/>
      <c r="K120" s="4">
        <v>10</v>
      </c>
      <c r="L120" s="4"/>
      <c r="M120" s="4">
        <v>2</v>
      </c>
      <c r="N120" s="8"/>
      <c r="O120" s="4">
        <v>2</v>
      </c>
      <c r="P120" s="4">
        <v>2</v>
      </c>
      <c r="Q120" s="4">
        <v>4</v>
      </c>
      <c r="R120" s="4"/>
    </row>
    <row r="121" spans="1:18" x14ac:dyDescent="0.2">
      <c r="A121" s="1">
        <v>45960</v>
      </c>
      <c r="B121" s="6">
        <v>1</v>
      </c>
      <c r="C121" t="s">
        <v>17</v>
      </c>
      <c r="D121" t="s">
        <v>13</v>
      </c>
      <c r="F121" s="6"/>
      <c r="G121" s="4">
        <v>16</v>
      </c>
      <c r="H121" s="4"/>
      <c r="I121" s="4"/>
      <c r="J121" s="7"/>
      <c r="K121" s="4">
        <v>0</v>
      </c>
      <c r="L121" s="4"/>
      <c r="M121" s="4">
        <v>0</v>
      </c>
      <c r="N121" s="8"/>
      <c r="O121" s="4">
        <v>0</v>
      </c>
      <c r="P121" s="4">
        <v>0</v>
      </c>
      <c r="Q121" s="4">
        <v>0</v>
      </c>
      <c r="R121" s="4"/>
    </row>
    <row r="122" spans="1:18" x14ac:dyDescent="0.2">
      <c r="A122" s="1">
        <v>45960</v>
      </c>
      <c r="B122" s="6">
        <v>1</v>
      </c>
      <c r="C122" t="s">
        <v>11</v>
      </c>
      <c r="D122" t="s">
        <v>14</v>
      </c>
      <c r="F122" s="6"/>
      <c r="G122" s="4">
        <v>16</v>
      </c>
      <c r="H122" s="4"/>
      <c r="I122" s="4"/>
      <c r="J122" s="7"/>
      <c r="K122" s="4">
        <v>7</v>
      </c>
      <c r="L122" s="4"/>
      <c r="M122" s="4">
        <v>1</v>
      </c>
      <c r="N122" s="8"/>
      <c r="O122" s="4">
        <v>2</v>
      </c>
      <c r="P122" s="4">
        <v>1</v>
      </c>
      <c r="Q122" s="4">
        <v>1</v>
      </c>
      <c r="R122" s="4"/>
    </row>
    <row r="123" spans="1:18" x14ac:dyDescent="0.2">
      <c r="A123" s="1">
        <v>45960</v>
      </c>
      <c r="B123" s="6">
        <v>1</v>
      </c>
      <c r="C123" t="s">
        <v>19</v>
      </c>
      <c r="D123" t="s">
        <v>14</v>
      </c>
      <c r="F123" s="6"/>
      <c r="G123" s="4">
        <v>16</v>
      </c>
      <c r="H123" s="4"/>
      <c r="I123" s="4"/>
      <c r="J123" s="7"/>
      <c r="K123" s="4">
        <v>0</v>
      </c>
      <c r="L123" s="4"/>
      <c r="M123" s="4">
        <v>0</v>
      </c>
      <c r="N123" s="8"/>
      <c r="O123" s="4">
        <v>2</v>
      </c>
      <c r="P123" s="4">
        <v>0</v>
      </c>
      <c r="Q123" s="4">
        <v>2</v>
      </c>
      <c r="R123" s="4"/>
    </row>
    <row r="124" spans="1:18" x14ac:dyDescent="0.2">
      <c r="A124" s="1">
        <v>45960</v>
      </c>
      <c r="B124" s="6">
        <v>1</v>
      </c>
      <c r="C124" t="s">
        <v>16</v>
      </c>
      <c r="D124" t="s">
        <v>14</v>
      </c>
      <c r="F124" s="6"/>
      <c r="G124" s="4">
        <v>16</v>
      </c>
      <c r="H124" s="4"/>
      <c r="I124" s="4"/>
      <c r="J124" s="7"/>
      <c r="K124" s="4">
        <v>17</v>
      </c>
      <c r="L124" s="4"/>
      <c r="M124" s="4">
        <v>1</v>
      </c>
      <c r="N124" s="8"/>
      <c r="O124" s="4">
        <v>6</v>
      </c>
      <c r="P124" s="4">
        <v>1</v>
      </c>
      <c r="Q124" s="4">
        <v>0</v>
      </c>
      <c r="R124" s="4"/>
    </row>
    <row r="125" spans="1:18" x14ac:dyDescent="0.2">
      <c r="A125" s="1">
        <v>45960</v>
      </c>
      <c r="B125" s="6">
        <v>1</v>
      </c>
      <c r="C125" t="s">
        <v>18</v>
      </c>
      <c r="D125" t="s">
        <v>14</v>
      </c>
      <c r="F125" s="6"/>
      <c r="G125" s="4">
        <v>16</v>
      </c>
      <c r="H125" s="4"/>
      <c r="I125" s="4"/>
      <c r="J125" s="7"/>
      <c r="K125" s="4">
        <v>3</v>
      </c>
      <c r="L125" s="4"/>
      <c r="M125" s="4">
        <v>1</v>
      </c>
      <c r="N125" s="8"/>
      <c r="O125" s="4">
        <v>0</v>
      </c>
      <c r="P125" s="4">
        <v>2</v>
      </c>
      <c r="Q125" s="4">
        <v>4</v>
      </c>
      <c r="R125" s="4"/>
    </row>
    <row r="126" spans="1:18" x14ac:dyDescent="0.2">
      <c r="A126" s="1">
        <v>46086</v>
      </c>
      <c r="B126" s="6">
        <v>2</v>
      </c>
      <c r="C126" t="s">
        <v>7</v>
      </c>
      <c r="D126" t="s">
        <v>27</v>
      </c>
      <c r="F126" s="6"/>
      <c r="G126" s="4">
        <v>1</v>
      </c>
      <c r="H126" s="4">
        <v>2</v>
      </c>
      <c r="I126" s="4">
        <v>2</v>
      </c>
      <c r="J126" s="7">
        <f>IFERROR(Table1[[#This Row],[2pt FGM]]/Table1[[#This Row],[2pt FGatt]],0)</f>
        <v>1</v>
      </c>
      <c r="K126" s="4">
        <v>4</v>
      </c>
      <c r="L126" s="4">
        <v>3</v>
      </c>
      <c r="M126" s="4">
        <v>0</v>
      </c>
      <c r="N126" s="8">
        <f>IFERROR(Table1[[#This Row],[3 pts]]/Table1[[#This Row],[3pt att]],0)</f>
        <v>0</v>
      </c>
      <c r="O126" s="4">
        <v>6</v>
      </c>
      <c r="P126" s="4">
        <v>8</v>
      </c>
      <c r="Q126" s="4">
        <v>1</v>
      </c>
      <c r="R126" s="4">
        <v>0</v>
      </c>
    </row>
    <row r="127" spans="1:18" x14ac:dyDescent="0.2">
      <c r="A127" s="1">
        <v>46086</v>
      </c>
      <c r="B127" s="6">
        <v>2</v>
      </c>
      <c r="C127" t="s">
        <v>16</v>
      </c>
      <c r="D127" t="s">
        <v>27</v>
      </c>
      <c r="F127" s="6"/>
      <c r="G127" s="4">
        <v>1</v>
      </c>
      <c r="H127" s="4">
        <v>15</v>
      </c>
      <c r="I127" s="4">
        <v>4</v>
      </c>
      <c r="J127" s="7">
        <f>IFERROR(Table1[[#This Row],[2pt FGM]]/Table1[[#This Row],[2pt FGatt]],0)</f>
        <v>0.26666666666666666</v>
      </c>
      <c r="K127" s="4">
        <v>8</v>
      </c>
      <c r="L127" s="4">
        <v>4</v>
      </c>
      <c r="M127" s="4">
        <v>0</v>
      </c>
      <c r="N127" s="8">
        <f>IFERROR(Table1[[#This Row],[3 pts]]/Table1[[#This Row],[3pt att]],0)</f>
        <v>0</v>
      </c>
      <c r="O127" s="4">
        <v>13</v>
      </c>
      <c r="P127" s="4">
        <v>2</v>
      </c>
      <c r="Q127" s="4">
        <v>1</v>
      </c>
      <c r="R127" s="4">
        <v>0</v>
      </c>
    </row>
    <row r="128" spans="1:18" x14ac:dyDescent="0.2">
      <c r="A128" s="1">
        <v>46086</v>
      </c>
      <c r="B128" s="6">
        <v>2</v>
      </c>
      <c r="C128" t="s">
        <v>17</v>
      </c>
      <c r="D128" t="s">
        <v>27</v>
      </c>
      <c r="F128" s="6"/>
      <c r="G128" s="4">
        <v>1</v>
      </c>
      <c r="H128" s="4">
        <v>1</v>
      </c>
      <c r="I128" s="4">
        <v>0</v>
      </c>
      <c r="J128" s="7">
        <f>IFERROR(Table1[[#This Row],[2pt FGM]]/Table1[[#This Row],[2pt FGatt]],0)</f>
        <v>0</v>
      </c>
      <c r="K128" s="4">
        <v>0</v>
      </c>
      <c r="L128" s="4">
        <v>6</v>
      </c>
      <c r="M128" s="4">
        <v>0</v>
      </c>
      <c r="N128" s="8">
        <f>IFERROR(Table1[[#This Row],[3 pts]]/Table1[[#This Row],[3pt att]],0)</f>
        <v>0</v>
      </c>
      <c r="O128" s="4">
        <v>1</v>
      </c>
      <c r="P128" s="4">
        <v>1</v>
      </c>
      <c r="Q128" s="4">
        <v>1</v>
      </c>
      <c r="R128" s="4">
        <v>0</v>
      </c>
    </row>
    <row r="129" spans="1:18" x14ac:dyDescent="0.2">
      <c r="A129" s="1">
        <v>46086</v>
      </c>
      <c r="B129" s="6">
        <v>2</v>
      </c>
      <c r="C129" t="s">
        <v>18</v>
      </c>
      <c r="D129" t="s">
        <v>27</v>
      </c>
      <c r="F129" s="6"/>
      <c r="G129" s="4">
        <v>1</v>
      </c>
      <c r="H129" s="4">
        <v>4</v>
      </c>
      <c r="I129" s="4">
        <v>0</v>
      </c>
      <c r="J129" s="7">
        <f>IFERROR(Table1[[#This Row],[2pt FGM]]/Table1[[#This Row],[2pt FGatt]],0)</f>
        <v>0</v>
      </c>
      <c r="K129" s="4">
        <v>3</v>
      </c>
      <c r="L129" s="4">
        <v>7</v>
      </c>
      <c r="M129" s="4">
        <v>1</v>
      </c>
      <c r="N129" s="8">
        <f>IFERROR(Table1[[#This Row],[3 pts]]/Table1[[#This Row],[3pt att]],0)</f>
        <v>0.14285714285714285</v>
      </c>
      <c r="O129" s="4">
        <v>2</v>
      </c>
      <c r="P129" s="4">
        <v>0</v>
      </c>
      <c r="Q129" s="4">
        <v>0</v>
      </c>
      <c r="R129" s="4">
        <v>0</v>
      </c>
    </row>
    <row r="130" spans="1:18" x14ac:dyDescent="0.2">
      <c r="A130" s="1">
        <v>46086</v>
      </c>
      <c r="B130" s="6">
        <v>2</v>
      </c>
      <c r="C130" t="s">
        <v>11</v>
      </c>
      <c r="D130" t="s">
        <v>31</v>
      </c>
      <c r="F130" s="6"/>
      <c r="G130" s="4">
        <v>1</v>
      </c>
      <c r="H130" s="4">
        <v>7</v>
      </c>
      <c r="I130" s="4">
        <v>2</v>
      </c>
      <c r="J130" s="7">
        <f>IFERROR(Table1[[#This Row],[2pt FGM]]/Table1[[#This Row],[2pt FGatt]],0)</f>
        <v>0.2857142857142857</v>
      </c>
      <c r="K130" s="4">
        <v>4</v>
      </c>
      <c r="L130" s="4">
        <v>1</v>
      </c>
      <c r="M130" s="4">
        <v>0</v>
      </c>
      <c r="N130" s="8">
        <f>IFERROR(Table1[[#This Row],[3 pts]]/Table1[[#This Row],[3pt att]],0)</f>
        <v>0</v>
      </c>
      <c r="O130" s="4">
        <v>5</v>
      </c>
      <c r="P130" s="4">
        <v>3</v>
      </c>
      <c r="Q130" s="4">
        <v>1</v>
      </c>
      <c r="R130" s="4">
        <v>0</v>
      </c>
    </row>
    <row r="131" spans="1:18" x14ac:dyDescent="0.2">
      <c r="A131" s="1">
        <v>46086</v>
      </c>
      <c r="B131" s="6">
        <v>2</v>
      </c>
      <c r="C131" t="s">
        <v>20</v>
      </c>
      <c r="D131" t="s">
        <v>31</v>
      </c>
      <c r="F131" s="6"/>
      <c r="G131" s="4">
        <v>1</v>
      </c>
      <c r="H131" s="4">
        <v>2</v>
      </c>
      <c r="I131" s="4">
        <v>0</v>
      </c>
      <c r="J131" s="7">
        <f>IFERROR(Table1[[#This Row],[2pt FGM]]/Table1[[#This Row],[2pt FGatt]],0)</f>
        <v>0</v>
      </c>
      <c r="K131" s="4">
        <v>0</v>
      </c>
      <c r="L131" s="4">
        <v>1</v>
      </c>
      <c r="M131" s="4">
        <v>0</v>
      </c>
      <c r="N131" s="8">
        <f>IFERROR(Table1[[#This Row],[3 pts]]/Table1[[#This Row],[3pt att]],0)</f>
        <v>0</v>
      </c>
      <c r="O131" s="4">
        <v>4</v>
      </c>
      <c r="P131" s="4">
        <v>1</v>
      </c>
      <c r="Q131" s="4">
        <v>0</v>
      </c>
      <c r="R131" s="4">
        <v>1</v>
      </c>
    </row>
    <row r="132" spans="1:18" x14ac:dyDescent="0.2">
      <c r="A132" s="1">
        <v>46086</v>
      </c>
      <c r="B132" s="6">
        <v>2</v>
      </c>
      <c r="C132" t="s">
        <v>9</v>
      </c>
      <c r="D132" t="s">
        <v>31</v>
      </c>
      <c r="F132" s="6"/>
      <c r="G132" s="4">
        <v>1</v>
      </c>
      <c r="H132" s="4">
        <v>5</v>
      </c>
      <c r="I132" s="4">
        <v>3</v>
      </c>
      <c r="J132" s="7">
        <f>IFERROR(Table1[[#This Row],[2pt FGM]]/Table1[[#This Row],[2pt FGatt]],0)</f>
        <v>0.6</v>
      </c>
      <c r="K132" s="4">
        <v>6</v>
      </c>
      <c r="L132" s="4">
        <v>2</v>
      </c>
      <c r="M132" s="4">
        <v>0</v>
      </c>
      <c r="N132" s="8">
        <f>IFERROR(Table1[[#This Row],[3 pts]]/Table1[[#This Row],[3pt att]],0)</f>
        <v>0</v>
      </c>
      <c r="O132" s="4">
        <v>9</v>
      </c>
      <c r="P132" s="4">
        <v>1</v>
      </c>
      <c r="Q132" s="4">
        <v>2</v>
      </c>
      <c r="R132" s="4">
        <v>2</v>
      </c>
    </row>
    <row r="133" spans="1:18" x14ac:dyDescent="0.2">
      <c r="A133" s="1">
        <v>46086</v>
      </c>
      <c r="B133" s="6">
        <v>2</v>
      </c>
      <c r="C133" t="s">
        <v>19</v>
      </c>
      <c r="D133" t="s">
        <v>31</v>
      </c>
      <c r="F133" s="6"/>
      <c r="G133" s="4">
        <v>1</v>
      </c>
      <c r="H133" s="4">
        <v>3</v>
      </c>
      <c r="I133" s="4">
        <v>1</v>
      </c>
      <c r="J133" s="7">
        <f>IFERROR(Table1[[#This Row],[2pt FGM]]/Table1[[#This Row],[2pt FGatt]],0)</f>
        <v>0.33333333333333331</v>
      </c>
      <c r="K133" s="4">
        <v>5</v>
      </c>
      <c r="L133" s="4">
        <v>4</v>
      </c>
      <c r="M133" s="4">
        <v>1</v>
      </c>
      <c r="N133" s="8">
        <f>IFERROR(Table1[[#This Row],[3 pts]]/Table1[[#This Row],[3pt att]],0)</f>
        <v>0.25</v>
      </c>
      <c r="O133" s="4">
        <v>2</v>
      </c>
      <c r="P133" s="4">
        <v>2</v>
      </c>
      <c r="Q133" s="4">
        <v>2</v>
      </c>
      <c r="R133" s="4">
        <v>1</v>
      </c>
    </row>
    <row r="134" spans="1:18" x14ac:dyDescent="0.2">
      <c r="A134" s="1">
        <v>46086</v>
      </c>
      <c r="B134" s="6">
        <v>2</v>
      </c>
      <c r="C134" t="s">
        <v>7</v>
      </c>
      <c r="D134" t="s">
        <v>27</v>
      </c>
      <c r="F134" s="6"/>
      <c r="G134" s="4">
        <v>2</v>
      </c>
      <c r="H134" s="4">
        <v>9</v>
      </c>
      <c r="I134" s="4">
        <v>3</v>
      </c>
      <c r="J134" s="7">
        <f>IFERROR(Table1[[#This Row],[2pt FGM]]/Table1[[#This Row],[2pt FGatt]],0)</f>
        <v>0.33333333333333331</v>
      </c>
      <c r="K134" s="4">
        <v>9</v>
      </c>
      <c r="L134" s="4">
        <v>4</v>
      </c>
      <c r="M134" s="4">
        <v>1</v>
      </c>
      <c r="N134" s="8">
        <f>IFERROR(Table1[[#This Row],[3 pts]]/Table1[[#This Row],[3pt att]],0)</f>
        <v>0.25</v>
      </c>
      <c r="O134" s="4">
        <v>19</v>
      </c>
      <c r="P134" s="4">
        <v>7</v>
      </c>
      <c r="Q134" s="4">
        <v>0</v>
      </c>
      <c r="R134" s="4">
        <v>0</v>
      </c>
    </row>
    <row r="135" spans="1:18" x14ac:dyDescent="0.2">
      <c r="A135" s="1">
        <v>46086</v>
      </c>
      <c r="B135" s="6">
        <v>2</v>
      </c>
      <c r="C135" t="s">
        <v>16</v>
      </c>
      <c r="D135" t="s">
        <v>27</v>
      </c>
      <c r="F135" s="6"/>
      <c r="G135" s="4">
        <v>2</v>
      </c>
      <c r="H135" s="4">
        <v>7</v>
      </c>
      <c r="I135" s="4">
        <v>3</v>
      </c>
      <c r="J135" s="7">
        <f>IFERROR(Table1[[#This Row],[2pt FGM]]/Table1[[#This Row],[2pt FGatt]],0)</f>
        <v>0.42857142857142855</v>
      </c>
      <c r="K135" s="4">
        <v>6</v>
      </c>
      <c r="L135" s="4">
        <v>4</v>
      </c>
      <c r="M135" s="4">
        <v>0</v>
      </c>
      <c r="N135" s="8">
        <f>IFERROR(Table1[[#This Row],[3 pts]]/Table1[[#This Row],[3pt att]],0)</f>
        <v>0</v>
      </c>
      <c r="O135" s="4">
        <v>7</v>
      </c>
      <c r="P135" s="4">
        <v>2</v>
      </c>
      <c r="Q135" s="4">
        <v>1</v>
      </c>
      <c r="R135" s="4">
        <v>0</v>
      </c>
    </row>
    <row r="136" spans="1:18" x14ac:dyDescent="0.2">
      <c r="A136" s="1">
        <v>46086</v>
      </c>
      <c r="B136" s="6">
        <v>2</v>
      </c>
      <c r="C136" t="s">
        <v>17</v>
      </c>
      <c r="D136" t="s">
        <v>27</v>
      </c>
      <c r="F136" s="6"/>
      <c r="G136" s="4">
        <v>2</v>
      </c>
      <c r="H136" s="4">
        <v>4</v>
      </c>
      <c r="I136" s="4">
        <v>1</v>
      </c>
      <c r="J136" s="7">
        <f>IFERROR(Table1[[#This Row],[2pt FGM]]/Table1[[#This Row],[2pt FGatt]],0)</f>
        <v>0.25</v>
      </c>
      <c r="K136" s="4">
        <v>5</v>
      </c>
      <c r="L136" s="4">
        <v>10</v>
      </c>
      <c r="M136" s="4">
        <v>1</v>
      </c>
      <c r="N136" s="8">
        <f>IFERROR(Table1[[#This Row],[3 pts]]/Table1[[#This Row],[3pt att]],0)</f>
        <v>0.1</v>
      </c>
      <c r="O136" s="4">
        <v>4</v>
      </c>
      <c r="P136" s="4">
        <v>3</v>
      </c>
      <c r="Q136" s="4">
        <v>0</v>
      </c>
      <c r="R136" s="4">
        <v>0</v>
      </c>
    </row>
    <row r="137" spans="1:18" x14ac:dyDescent="0.2">
      <c r="A137" s="1">
        <v>46086</v>
      </c>
      <c r="B137" s="6">
        <v>2</v>
      </c>
      <c r="C137" t="s">
        <v>18</v>
      </c>
      <c r="D137" t="s">
        <v>27</v>
      </c>
      <c r="F137" s="6"/>
      <c r="G137" s="4">
        <v>2</v>
      </c>
      <c r="H137" s="4">
        <v>4</v>
      </c>
      <c r="I137" s="4">
        <v>0</v>
      </c>
      <c r="J137" s="7">
        <f>IFERROR(Table1[[#This Row],[2pt FGM]]/Table1[[#This Row],[2pt FGatt]],0)</f>
        <v>0</v>
      </c>
      <c r="K137" s="4">
        <v>3</v>
      </c>
      <c r="L137" s="4">
        <v>14</v>
      </c>
      <c r="M137" s="4">
        <v>1</v>
      </c>
      <c r="N137" s="8">
        <f>IFERROR(Table1[[#This Row],[3 pts]]/Table1[[#This Row],[3pt att]],0)</f>
        <v>7.1428571428571425E-2</v>
      </c>
      <c r="O137" s="4">
        <v>4</v>
      </c>
      <c r="P137" s="4">
        <v>1</v>
      </c>
      <c r="Q137" s="4">
        <v>2</v>
      </c>
      <c r="R137" s="4">
        <v>0</v>
      </c>
    </row>
    <row r="138" spans="1:18" x14ac:dyDescent="0.2">
      <c r="A138" s="1">
        <v>46086</v>
      </c>
      <c r="B138" s="6">
        <v>2</v>
      </c>
      <c r="C138" t="s">
        <v>11</v>
      </c>
      <c r="D138" t="s">
        <v>31</v>
      </c>
      <c r="F138" s="6"/>
      <c r="G138" s="4">
        <v>2</v>
      </c>
      <c r="H138" s="4">
        <v>4</v>
      </c>
      <c r="I138" s="4">
        <v>1</v>
      </c>
      <c r="J138" s="7">
        <f>IFERROR(Table1[[#This Row],[2pt FGM]]/Table1[[#This Row],[2pt FGatt]],0)</f>
        <v>0.25</v>
      </c>
      <c r="K138" s="4">
        <v>5</v>
      </c>
      <c r="L138" s="4">
        <v>3</v>
      </c>
      <c r="M138" s="4">
        <v>1</v>
      </c>
      <c r="N138" s="8">
        <f>IFERROR(Table1[[#This Row],[3 pts]]/Table1[[#This Row],[3pt att]],0)</f>
        <v>0.33333333333333331</v>
      </c>
      <c r="O138" s="4">
        <v>1</v>
      </c>
      <c r="P138" s="4">
        <v>2</v>
      </c>
      <c r="Q138" s="4">
        <v>2</v>
      </c>
      <c r="R138" s="4">
        <v>0</v>
      </c>
    </row>
    <row r="139" spans="1:18" x14ac:dyDescent="0.2">
      <c r="A139" s="1">
        <v>46086</v>
      </c>
      <c r="B139" s="6">
        <v>2</v>
      </c>
      <c r="C139" t="s">
        <v>20</v>
      </c>
      <c r="D139" t="s">
        <v>31</v>
      </c>
      <c r="F139" s="6"/>
      <c r="G139" s="4">
        <v>2</v>
      </c>
      <c r="H139" s="4">
        <v>4</v>
      </c>
      <c r="I139" s="4">
        <v>0</v>
      </c>
      <c r="J139" s="7">
        <f>IFERROR(Table1[[#This Row],[2pt FGM]]/Table1[[#This Row],[2pt FGatt]],0)</f>
        <v>0</v>
      </c>
      <c r="K139" s="4">
        <v>0</v>
      </c>
      <c r="L139" s="4">
        <v>3</v>
      </c>
      <c r="M139" s="4">
        <v>0</v>
      </c>
      <c r="N139" s="8">
        <f>IFERROR(Table1[[#This Row],[3 pts]]/Table1[[#This Row],[3pt att]],0)</f>
        <v>0</v>
      </c>
      <c r="O139" s="4">
        <v>5</v>
      </c>
      <c r="P139" s="4">
        <v>0</v>
      </c>
      <c r="Q139" s="4">
        <v>0</v>
      </c>
      <c r="R139" s="4">
        <v>0</v>
      </c>
    </row>
    <row r="140" spans="1:18" x14ac:dyDescent="0.2">
      <c r="A140" s="1">
        <v>46086</v>
      </c>
      <c r="B140" s="6">
        <v>2</v>
      </c>
      <c r="C140" t="s">
        <v>9</v>
      </c>
      <c r="D140" t="s">
        <v>31</v>
      </c>
      <c r="F140" s="6"/>
      <c r="G140" s="4">
        <v>2</v>
      </c>
      <c r="H140" s="4">
        <v>4</v>
      </c>
      <c r="I140" s="4">
        <v>2</v>
      </c>
      <c r="J140" s="7">
        <f>IFERROR(Table1[[#This Row],[2pt FGM]]/Table1[[#This Row],[2pt FGatt]],0)</f>
        <v>0.5</v>
      </c>
      <c r="K140" s="4">
        <v>7</v>
      </c>
      <c r="L140" s="4">
        <v>3</v>
      </c>
      <c r="M140" s="4">
        <v>1</v>
      </c>
      <c r="N140" s="8">
        <f>IFERROR(Table1[[#This Row],[3 pts]]/Table1[[#This Row],[3pt att]],0)</f>
        <v>0.33333333333333331</v>
      </c>
      <c r="O140" s="4">
        <v>13</v>
      </c>
      <c r="P140" s="4">
        <v>0</v>
      </c>
      <c r="Q140" s="4">
        <v>3</v>
      </c>
      <c r="R140" s="4">
        <v>3</v>
      </c>
    </row>
    <row r="141" spans="1:18" x14ac:dyDescent="0.2">
      <c r="A141" s="1">
        <v>46086</v>
      </c>
      <c r="B141" s="6">
        <v>2</v>
      </c>
      <c r="C141" t="s">
        <v>19</v>
      </c>
      <c r="D141" t="s">
        <v>31</v>
      </c>
      <c r="F141" s="6"/>
      <c r="G141" s="4">
        <v>2</v>
      </c>
      <c r="H141" s="4">
        <v>4</v>
      </c>
      <c r="I141" s="4">
        <v>1</v>
      </c>
      <c r="J141" s="7">
        <f>IFERROR(Table1[[#This Row],[2pt FGM]]/Table1[[#This Row],[2pt FGatt]],0)</f>
        <v>0.25</v>
      </c>
      <c r="K141" s="4">
        <v>5</v>
      </c>
      <c r="L141" s="4">
        <v>11</v>
      </c>
      <c r="M141" s="4">
        <v>1</v>
      </c>
      <c r="N141" s="8">
        <f>IFERROR(Table1[[#This Row],[3 pts]]/Table1[[#This Row],[3pt att]],0)</f>
        <v>9.0909090909090912E-2</v>
      </c>
      <c r="O141" s="4">
        <v>8</v>
      </c>
      <c r="P141" s="4">
        <v>2</v>
      </c>
      <c r="Q141" s="4">
        <v>2</v>
      </c>
      <c r="R141" s="4">
        <v>0</v>
      </c>
    </row>
    <row r="142" spans="1:18" x14ac:dyDescent="0.2">
      <c r="A142" s="1">
        <v>46086</v>
      </c>
      <c r="B142" s="6">
        <v>2</v>
      </c>
      <c r="C142" t="s">
        <v>7</v>
      </c>
      <c r="D142" t="s">
        <v>27</v>
      </c>
      <c r="F142" s="6"/>
      <c r="G142" s="4">
        <v>3</v>
      </c>
      <c r="H142" s="4">
        <v>6</v>
      </c>
      <c r="I142" s="4">
        <v>3</v>
      </c>
      <c r="J142" s="7">
        <f>IFERROR(Table1[[#This Row],[2pt FGM]]/Table1[[#This Row],[2pt FGatt]],0)</f>
        <v>0.5</v>
      </c>
      <c r="K142" s="4">
        <v>6</v>
      </c>
      <c r="L142" s="4">
        <v>0</v>
      </c>
      <c r="M142" s="4">
        <v>0</v>
      </c>
      <c r="N142" s="8">
        <f>IFERROR(Table1[[#This Row],[3 pts]]/Table1[[#This Row],[3pt att]],0)</f>
        <v>0</v>
      </c>
      <c r="O142" s="4">
        <v>9</v>
      </c>
      <c r="P142" s="4">
        <v>2</v>
      </c>
      <c r="Q142" s="4">
        <v>2</v>
      </c>
      <c r="R142" s="4">
        <v>0</v>
      </c>
    </row>
    <row r="143" spans="1:18" x14ac:dyDescent="0.2">
      <c r="A143" s="1">
        <v>46086</v>
      </c>
      <c r="B143" s="6">
        <v>2</v>
      </c>
      <c r="C143" t="s">
        <v>16</v>
      </c>
      <c r="D143" t="s">
        <v>27</v>
      </c>
      <c r="F143" s="6"/>
      <c r="G143" s="4">
        <v>3</v>
      </c>
      <c r="H143" s="4">
        <v>3</v>
      </c>
      <c r="I143" s="4">
        <v>2</v>
      </c>
      <c r="J143" s="7">
        <f>IFERROR(Table1[[#This Row],[2pt FGM]]/Table1[[#This Row],[2pt FGatt]],0)</f>
        <v>0.66666666666666663</v>
      </c>
      <c r="K143" s="4">
        <v>4</v>
      </c>
      <c r="L143" s="4">
        <v>0</v>
      </c>
      <c r="M143" s="4">
        <v>0</v>
      </c>
      <c r="N143" s="8">
        <f>IFERROR(Table1[[#This Row],[3 pts]]/Table1[[#This Row],[3pt att]],0)</f>
        <v>0</v>
      </c>
      <c r="O143" s="4">
        <v>5</v>
      </c>
      <c r="P143" s="4">
        <v>0</v>
      </c>
      <c r="Q143" s="4">
        <v>0</v>
      </c>
      <c r="R143" s="4">
        <v>0</v>
      </c>
    </row>
    <row r="144" spans="1:18" x14ac:dyDescent="0.2">
      <c r="A144" s="1">
        <v>46086</v>
      </c>
      <c r="B144" s="6">
        <v>2</v>
      </c>
      <c r="C144" t="s">
        <v>17</v>
      </c>
      <c r="D144" t="s">
        <v>27</v>
      </c>
      <c r="F144" s="6"/>
      <c r="G144" s="4">
        <v>3</v>
      </c>
      <c r="H144" s="4">
        <v>2</v>
      </c>
      <c r="I144" s="4">
        <v>1</v>
      </c>
      <c r="J144" s="7">
        <f>IFERROR(Table1[[#This Row],[2pt FGM]]/Table1[[#This Row],[2pt FGatt]],0)</f>
        <v>0.5</v>
      </c>
      <c r="K144" s="4">
        <v>5</v>
      </c>
      <c r="L144" s="4">
        <v>3</v>
      </c>
      <c r="M144" s="4">
        <v>1</v>
      </c>
      <c r="N144" s="8">
        <f>IFERROR(Table1[[#This Row],[3 pts]]/Table1[[#This Row],[3pt att]],0)</f>
        <v>0.33333333333333331</v>
      </c>
      <c r="O144" s="4">
        <v>1</v>
      </c>
      <c r="P144" s="4">
        <v>1</v>
      </c>
      <c r="Q144" s="4">
        <v>1</v>
      </c>
      <c r="R144" s="4">
        <v>0</v>
      </c>
    </row>
    <row r="145" spans="1:18" x14ac:dyDescent="0.2">
      <c r="A145" s="1">
        <v>46086</v>
      </c>
      <c r="B145" s="6">
        <v>2</v>
      </c>
      <c r="C145" t="s">
        <v>18</v>
      </c>
      <c r="D145" t="s">
        <v>27</v>
      </c>
      <c r="F145" s="6"/>
      <c r="G145" s="4">
        <v>3</v>
      </c>
      <c r="H145" s="4">
        <v>3</v>
      </c>
      <c r="I145" s="4">
        <v>1</v>
      </c>
      <c r="J145" s="7">
        <f>IFERROR(Table1[[#This Row],[2pt FGM]]/Table1[[#This Row],[2pt FGatt]],0)</f>
        <v>0.33333333333333331</v>
      </c>
      <c r="K145" s="4">
        <v>2</v>
      </c>
      <c r="L145" s="4">
        <v>2</v>
      </c>
      <c r="M145" s="4">
        <v>0</v>
      </c>
      <c r="N145" s="8">
        <f>IFERROR(Table1[[#This Row],[3 pts]]/Table1[[#This Row],[3pt att]],0)</f>
        <v>0</v>
      </c>
      <c r="O145" s="4">
        <v>0</v>
      </c>
      <c r="P145" s="4">
        <v>0</v>
      </c>
      <c r="Q145" s="4">
        <v>0</v>
      </c>
      <c r="R145" s="4">
        <v>0</v>
      </c>
    </row>
    <row r="146" spans="1:18" x14ac:dyDescent="0.2">
      <c r="A146" s="1">
        <v>46086</v>
      </c>
      <c r="B146" s="6">
        <v>2</v>
      </c>
      <c r="C146" t="s">
        <v>11</v>
      </c>
      <c r="D146" t="s">
        <v>31</v>
      </c>
      <c r="F146" s="6"/>
      <c r="G146" s="4">
        <v>3</v>
      </c>
      <c r="H146" s="4">
        <v>2</v>
      </c>
      <c r="I146" s="4">
        <v>1</v>
      </c>
      <c r="J146" s="7">
        <f>IFERROR(Table1[[#This Row],[2pt FGM]]/Table1[[#This Row],[2pt FGatt]],0)</f>
        <v>0.5</v>
      </c>
      <c r="K146" s="4">
        <v>2</v>
      </c>
      <c r="L146" s="4">
        <v>0</v>
      </c>
      <c r="M146" s="4">
        <v>0</v>
      </c>
      <c r="N146" s="8">
        <f>IFERROR(Table1[[#This Row],[3 pts]]/Table1[[#This Row],[3pt att]],0)</f>
        <v>0</v>
      </c>
      <c r="O146" s="4">
        <v>1</v>
      </c>
      <c r="P146" s="4">
        <v>0</v>
      </c>
      <c r="Q146" s="4">
        <v>0</v>
      </c>
      <c r="R146" s="4">
        <v>0</v>
      </c>
    </row>
    <row r="147" spans="1:18" x14ac:dyDescent="0.2">
      <c r="A147" s="1">
        <v>46086</v>
      </c>
      <c r="B147" s="6">
        <v>2</v>
      </c>
      <c r="C147" t="s">
        <v>20</v>
      </c>
      <c r="D147" t="s">
        <v>31</v>
      </c>
      <c r="F147" s="6"/>
      <c r="G147" s="4">
        <v>3</v>
      </c>
      <c r="H147" s="4">
        <v>0</v>
      </c>
      <c r="I147" s="4">
        <v>0</v>
      </c>
      <c r="J147" s="7">
        <f>IFERROR(Table1[[#This Row],[2pt FGM]]/Table1[[#This Row],[2pt FGatt]],0)</f>
        <v>0</v>
      </c>
      <c r="K147" s="4">
        <v>0</v>
      </c>
      <c r="L147" s="4">
        <v>1</v>
      </c>
      <c r="M147" s="4">
        <v>0</v>
      </c>
      <c r="N147" s="8">
        <f>IFERROR(Table1[[#This Row],[3 pts]]/Table1[[#This Row],[3pt att]],0)</f>
        <v>0</v>
      </c>
      <c r="O147" s="4">
        <v>0</v>
      </c>
      <c r="P147" s="4">
        <v>0</v>
      </c>
      <c r="Q147" s="4">
        <v>0</v>
      </c>
      <c r="R147" s="4">
        <v>0</v>
      </c>
    </row>
    <row r="148" spans="1:18" x14ac:dyDescent="0.2">
      <c r="A148" s="1">
        <v>46086</v>
      </c>
      <c r="B148" s="6">
        <v>2</v>
      </c>
      <c r="C148" t="s">
        <v>9</v>
      </c>
      <c r="D148" t="s">
        <v>31</v>
      </c>
      <c r="F148" s="6"/>
      <c r="G148" s="4">
        <v>3</v>
      </c>
      <c r="H148" s="4">
        <v>4</v>
      </c>
      <c r="I148" s="4">
        <v>2</v>
      </c>
      <c r="J148" s="7">
        <f>IFERROR(Table1[[#This Row],[2pt FGM]]/Table1[[#This Row],[2pt FGatt]],0)</f>
        <v>0.5</v>
      </c>
      <c r="K148" s="4">
        <v>7</v>
      </c>
      <c r="L148" s="4">
        <v>4</v>
      </c>
      <c r="M148" s="4">
        <v>1</v>
      </c>
      <c r="N148" s="8">
        <f>IFERROR(Table1[[#This Row],[3 pts]]/Table1[[#This Row],[3pt att]],0)</f>
        <v>0.25</v>
      </c>
      <c r="O148" s="4">
        <v>2</v>
      </c>
      <c r="P148" s="4">
        <v>2</v>
      </c>
      <c r="Q148" s="4">
        <v>2</v>
      </c>
      <c r="R148" s="4">
        <v>2</v>
      </c>
    </row>
    <row r="149" spans="1:18" x14ac:dyDescent="0.2">
      <c r="A149" s="1">
        <v>46086</v>
      </c>
      <c r="B149" s="6">
        <v>2</v>
      </c>
      <c r="C149" t="s">
        <v>19</v>
      </c>
      <c r="D149" t="s">
        <v>31</v>
      </c>
      <c r="F149" s="6"/>
      <c r="G149" s="4">
        <v>3</v>
      </c>
      <c r="H149" s="4">
        <v>5</v>
      </c>
      <c r="I149" s="4">
        <v>2</v>
      </c>
      <c r="J149" s="7">
        <f>IFERROR(Table1[[#This Row],[2pt FGM]]/Table1[[#This Row],[2pt FGatt]],0)</f>
        <v>0.4</v>
      </c>
      <c r="K149" s="4">
        <v>7</v>
      </c>
      <c r="L149" s="4">
        <v>6</v>
      </c>
      <c r="M149" s="4">
        <v>1</v>
      </c>
      <c r="N149" s="8">
        <f>IFERROR(Table1[[#This Row],[3 pts]]/Table1[[#This Row],[3pt att]],0)</f>
        <v>0.16666666666666666</v>
      </c>
      <c r="O149" s="4">
        <v>5</v>
      </c>
      <c r="P149" s="4">
        <v>4</v>
      </c>
      <c r="Q149" s="4">
        <v>2</v>
      </c>
      <c r="R149" s="4">
        <v>0</v>
      </c>
    </row>
    <row r="150" spans="1:18" x14ac:dyDescent="0.2">
      <c r="A150" s="1">
        <v>46098</v>
      </c>
      <c r="B150" s="6">
        <v>2</v>
      </c>
      <c r="C150" t="s">
        <v>7</v>
      </c>
      <c r="D150" t="s">
        <v>27</v>
      </c>
      <c r="F150" s="6"/>
      <c r="G150" s="4">
        <v>1</v>
      </c>
      <c r="H150" s="4">
        <v>8</v>
      </c>
      <c r="I150" s="4">
        <v>4</v>
      </c>
      <c r="J150" s="7">
        <f>IFERROR(Table1[[#This Row],[2pt FGM]]/Table1[[#This Row],[2pt FGatt]],0)</f>
        <v>0.5</v>
      </c>
      <c r="K150" s="4">
        <v>11</v>
      </c>
      <c r="L150" s="4">
        <v>2</v>
      </c>
      <c r="M150" s="4">
        <v>1</v>
      </c>
      <c r="N150" s="8">
        <f>IFERROR(Table1[[#This Row],[3 pts]]/Table1[[#This Row],[3pt att]],0)</f>
        <v>0.5</v>
      </c>
      <c r="O150" s="4">
        <v>11</v>
      </c>
      <c r="P150" s="4">
        <v>6</v>
      </c>
      <c r="Q150" s="4">
        <v>1</v>
      </c>
      <c r="R150" s="4">
        <v>0</v>
      </c>
    </row>
    <row r="151" spans="1:18" x14ac:dyDescent="0.2">
      <c r="A151" s="1">
        <v>46098</v>
      </c>
      <c r="B151" s="6">
        <v>2</v>
      </c>
      <c r="C151" t="s">
        <v>16</v>
      </c>
      <c r="D151" t="s">
        <v>27</v>
      </c>
      <c r="F151" s="6"/>
      <c r="G151" s="4">
        <v>1</v>
      </c>
      <c r="H151" s="4">
        <v>7</v>
      </c>
      <c r="I151" s="4">
        <v>1</v>
      </c>
      <c r="J151" s="7">
        <f>IFERROR(Table1[[#This Row],[2pt FGM]]/Table1[[#This Row],[2pt FGatt]],0)</f>
        <v>0.14285714285714285</v>
      </c>
      <c r="K151" s="4">
        <v>2</v>
      </c>
      <c r="L151" s="4">
        <v>3</v>
      </c>
      <c r="M151" s="4">
        <v>0</v>
      </c>
      <c r="N151" s="8">
        <f>IFERROR(Table1[[#This Row],[3 pts]]/Table1[[#This Row],[3pt att]],0)</f>
        <v>0</v>
      </c>
      <c r="O151" s="4">
        <v>8</v>
      </c>
      <c r="P151" s="4">
        <v>7</v>
      </c>
      <c r="Q151" s="4">
        <v>5</v>
      </c>
      <c r="R151" s="4">
        <v>1</v>
      </c>
    </row>
    <row r="152" spans="1:18" x14ac:dyDescent="0.2">
      <c r="A152" s="1">
        <v>46098</v>
      </c>
      <c r="B152" s="6">
        <v>2</v>
      </c>
      <c r="C152" t="s">
        <v>17</v>
      </c>
      <c r="D152" t="s">
        <v>27</v>
      </c>
      <c r="F152" s="6"/>
      <c r="G152" s="4">
        <v>1</v>
      </c>
      <c r="H152" s="4">
        <v>5</v>
      </c>
      <c r="I152" s="4">
        <v>1</v>
      </c>
      <c r="J152" s="7">
        <f>IFERROR(Table1[[#This Row],[2pt FGM]]/Table1[[#This Row],[2pt FGatt]],0)</f>
        <v>0.2</v>
      </c>
      <c r="K152" s="4">
        <v>5</v>
      </c>
      <c r="L152" s="4">
        <v>6</v>
      </c>
      <c r="M152" s="4">
        <v>1</v>
      </c>
      <c r="N152" s="8">
        <f>IFERROR(Table1[[#This Row],[3 pts]]/Table1[[#This Row],[3pt att]],0)</f>
        <v>0.16666666666666666</v>
      </c>
      <c r="O152" s="4">
        <v>8</v>
      </c>
      <c r="P152" s="4">
        <v>2</v>
      </c>
      <c r="Q152" s="4">
        <v>0</v>
      </c>
      <c r="R152" s="4">
        <v>0</v>
      </c>
    </row>
    <row r="153" spans="1:18" x14ac:dyDescent="0.2">
      <c r="A153" s="1">
        <v>46098</v>
      </c>
      <c r="B153" s="6">
        <v>2</v>
      </c>
      <c r="C153" t="s">
        <v>18</v>
      </c>
      <c r="D153" t="s">
        <v>27</v>
      </c>
      <c r="F153" s="6"/>
      <c r="G153" s="4">
        <v>1</v>
      </c>
      <c r="H153" s="4">
        <v>7</v>
      </c>
      <c r="I153" s="4">
        <v>1</v>
      </c>
      <c r="J153" s="7">
        <f>IFERROR(Table1[[#This Row],[2pt FGM]]/Table1[[#This Row],[2pt FGatt]],0)</f>
        <v>0.14285714285714285</v>
      </c>
      <c r="K153" s="4">
        <v>2</v>
      </c>
      <c r="L153" s="4">
        <v>9</v>
      </c>
      <c r="M153" s="4">
        <v>1</v>
      </c>
      <c r="N153" s="8">
        <f>IFERROR(Table1[[#This Row],[3 pts]]/Table1[[#This Row],[3pt att]],0)</f>
        <v>0.1111111111111111</v>
      </c>
      <c r="O153" s="4">
        <v>1</v>
      </c>
      <c r="P153" s="4">
        <v>3</v>
      </c>
      <c r="Q153" s="4">
        <v>0</v>
      </c>
      <c r="R153" s="4">
        <v>0</v>
      </c>
    </row>
    <row r="154" spans="1:18" x14ac:dyDescent="0.2">
      <c r="A154" s="1">
        <v>46098</v>
      </c>
      <c r="B154" s="6">
        <v>2</v>
      </c>
      <c r="C154" t="s">
        <v>11</v>
      </c>
      <c r="D154" t="s">
        <v>31</v>
      </c>
      <c r="F154" s="6"/>
      <c r="G154" s="4">
        <v>1</v>
      </c>
      <c r="H154" s="4">
        <v>4</v>
      </c>
      <c r="I154" s="4">
        <v>3</v>
      </c>
      <c r="J154" s="7">
        <f>IFERROR(Table1[[#This Row],[2pt FGM]]/Table1[[#This Row],[2pt FGatt]],0)</f>
        <v>0.75</v>
      </c>
      <c r="K154" s="4">
        <v>9</v>
      </c>
      <c r="L154" s="4">
        <v>2</v>
      </c>
      <c r="M154" s="4">
        <v>1</v>
      </c>
      <c r="N154" s="8">
        <f>IFERROR(Table1[[#This Row],[3 pts]]/Table1[[#This Row],[3pt att]],0)</f>
        <v>0.5</v>
      </c>
      <c r="O154" s="4">
        <v>3</v>
      </c>
      <c r="P154" s="4">
        <v>3</v>
      </c>
      <c r="Q154" s="4">
        <v>2</v>
      </c>
      <c r="R154" s="4">
        <v>0</v>
      </c>
    </row>
    <row r="155" spans="1:18" x14ac:dyDescent="0.2">
      <c r="A155" s="1">
        <v>46098</v>
      </c>
      <c r="B155" s="6">
        <v>2</v>
      </c>
      <c r="C155" t="s">
        <v>20</v>
      </c>
      <c r="D155" t="s">
        <v>31</v>
      </c>
      <c r="F155" s="6"/>
      <c r="G155" s="4">
        <v>1</v>
      </c>
      <c r="H155" s="4">
        <v>7</v>
      </c>
      <c r="I155" s="4">
        <v>2</v>
      </c>
      <c r="J155" s="7">
        <f>IFERROR(Table1[[#This Row],[2pt FGM]]/Table1[[#This Row],[2pt FGatt]],0)</f>
        <v>0.2857142857142857</v>
      </c>
      <c r="K155" s="4">
        <v>4</v>
      </c>
      <c r="L155" s="4">
        <v>1</v>
      </c>
      <c r="M155" s="4">
        <v>0</v>
      </c>
      <c r="N155" s="8">
        <f>IFERROR(Table1[[#This Row],[3 pts]]/Table1[[#This Row],[3pt att]],0)</f>
        <v>0</v>
      </c>
      <c r="O155" s="4">
        <v>10</v>
      </c>
      <c r="P155" s="4">
        <v>4</v>
      </c>
      <c r="Q155" s="4">
        <v>4</v>
      </c>
      <c r="R155" s="4">
        <v>1</v>
      </c>
    </row>
    <row r="156" spans="1:18" x14ac:dyDescent="0.2">
      <c r="A156" s="1">
        <v>46098</v>
      </c>
      <c r="B156" s="6">
        <v>2</v>
      </c>
      <c r="C156" t="s">
        <v>9</v>
      </c>
      <c r="D156" t="s">
        <v>31</v>
      </c>
      <c r="F156" s="6"/>
      <c r="G156" s="4">
        <v>1</v>
      </c>
      <c r="H156" s="4">
        <v>2</v>
      </c>
      <c r="I156" s="4">
        <v>2</v>
      </c>
      <c r="J156" s="7">
        <f>IFERROR(Table1[[#This Row],[2pt FGM]]/Table1[[#This Row],[2pt FGatt]],0)</f>
        <v>1</v>
      </c>
      <c r="K156" s="4">
        <v>10</v>
      </c>
      <c r="L156" s="4">
        <v>7</v>
      </c>
      <c r="M156" s="4">
        <v>2</v>
      </c>
      <c r="N156" s="8">
        <f>IFERROR(Table1[[#This Row],[3 pts]]/Table1[[#This Row],[3pt att]],0)</f>
        <v>0.2857142857142857</v>
      </c>
      <c r="O156" s="4">
        <v>2</v>
      </c>
      <c r="P156" s="4">
        <v>5</v>
      </c>
      <c r="Q156" s="4">
        <v>1</v>
      </c>
      <c r="R156" s="4">
        <v>2</v>
      </c>
    </row>
    <row r="157" spans="1:18" x14ac:dyDescent="0.2">
      <c r="A157" s="1">
        <v>46098</v>
      </c>
      <c r="B157" s="6">
        <v>2</v>
      </c>
      <c r="C157" t="s">
        <v>19</v>
      </c>
      <c r="D157" t="s">
        <v>31</v>
      </c>
      <c r="F157" s="6"/>
      <c r="G157" s="4">
        <v>1</v>
      </c>
      <c r="H157" s="4">
        <v>4</v>
      </c>
      <c r="I157" s="4">
        <v>0</v>
      </c>
      <c r="J157" s="7">
        <f>IFERROR(Table1[[#This Row],[2pt FGM]]/Table1[[#This Row],[2pt FGatt]],0)</f>
        <v>0</v>
      </c>
      <c r="K157" s="4">
        <v>0</v>
      </c>
      <c r="L157" s="4">
        <v>7</v>
      </c>
      <c r="M157" s="4">
        <v>0</v>
      </c>
      <c r="N157" s="8">
        <f>IFERROR(Table1[[#This Row],[3 pts]]/Table1[[#This Row],[3pt att]],0)</f>
        <v>0</v>
      </c>
      <c r="O157" s="4">
        <v>7</v>
      </c>
      <c r="P157" s="4">
        <v>3</v>
      </c>
      <c r="Q157" s="4">
        <v>0</v>
      </c>
      <c r="R157" s="4">
        <v>1</v>
      </c>
    </row>
    <row r="158" spans="1:18" x14ac:dyDescent="0.2">
      <c r="A158" s="1">
        <v>46098</v>
      </c>
      <c r="B158" s="6">
        <v>2</v>
      </c>
      <c r="C158" t="s">
        <v>7</v>
      </c>
      <c r="D158" t="s">
        <v>27</v>
      </c>
      <c r="F158" s="6"/>
      <c r="G158" s="4">
        <v>2</v>
      </c>
      <c r="H158" s="4">
        <v>8</v>
      </c>
      <c r="I158" s="4">
        <v>3</v>
      </c>
      <c r="J158" s="7">
        <f>IFERROR(Table1[[#This Row],[2pt FGM]]/Table1[[#This Row],[2pt FGatt]],0)</f>
        <v>0.375</v>
      </c>
      <c r="K158" s="4">
        <v>6</v>
      </c>
      <c r="L158" s="4">
        <v>1</v>
      </c>
      <c r="M158" s="4">
        <v>0</v>
      </c>
      <c r="N158" s="8">
        <f>IFERROR(Table1[[#This Row],[3 pts]]/Table1[[#This Row],[3pt att]],0)</f>
        <v>0</v>
      </c>
      <c r="O158" s="4">
        <v>12</v>
      </c>
      <c r="P158" s="4">
        <v>3</v>
      </c>
      <c r="Q158" s="4">
        <v>3</v>
      </c>
      <c r="R158" s="4">
        <v>0</v>
      </c>
    </row>
    <row r="159" spans="1:18" x14ac:dyDescent="0.2">
      <c r="A159" s="1">
        <v>46098</v>
      </c>
      <c r="B159" s="6">
        <v>2</v>
      </c>
      <c r="C159" t="s">
        <v>16</v>
      </c>
      <c r="D159" t="s">
        <v>27</v>
      </c>
      <c r="F159" s="6"/>
      <c r="G159" s="4">
        <v>2</v>
      </c>
      <c r="H159" s="4">
        <v>4</v>
      </c>
      <c r="I159" s="4">
        <v>2</v>
      </c>
      <c r="J159" s="7">
        <f>IFERROR(Table1[[#This Row],[2pt FGM]]/Table1[[#This Row],[2pt FGatt]],0)</f>
        <v>0.5</v>
      </c>
      <c r="K159" s="4">
        <v>4</v>
      </c>
      <c r="L159" s="4">
        <v>3</v>
      </c>
      <c r="M159" s="4">
        <v>0</v>
      </c>
      <c r="N159" s="8">
        <f>IFERROR(Table1[[#This Row],[3 pts]]/Table1[[#This Row],[3pt att]],0)</f>
        <v>0</v>
      </c>
      <c r="O159" s="4">
        <v>7</v>
      </c>
      <c r="P159" s="4">
        <v>1</v>
      </c>
      <c r="Q159" s="4">
        <v>1</v>
      </c>
      <c r="R159" s="4">
        <v>1</v>
      </c>
    </row>
    <row r="160" spans="1:18" x14ac:dyDescent="0.2">
      <c r="A160" s="1">
        <v>46098</v>
      </c>
      <c r="B160" s="6">
        <v>2</v>
      </c>
      <c r="C160" t="s">
        <v>17</v>
      </c>
      <c r="D160" t="s">
        <v>27</v>
      </c>
      <c r="F160" s="6"/>
      <c r="G160" s="4">
        <v>2</v>
      </c>
      <c r="H160" s="4">
        <v>3</v>
      </c>
      <c r="I160" s="4">
        <v>0</v>
      </c>
      <c r="J160" s="7">
        <f>IFERROR(Table1[[#This Row],[2pt FGM]]/Table1[[#This Row],[2pt FGatt]],0)</f>
        <v>0</v>
      </c>
      <c r="K160" s="4">
        <v>3</v>
      </c>
      <c r="L160" s="4">
        <v>6</v>
      </c>
      <c r="M160" s="4">
        <v>1</v>
      </c>
      <c r="N160" s="8">
        <f>IFERROR(Table1[[#This Row],[3 pts]]/Table1[[#This Row],[3pt att]],0)</f>
        <v>0.16666666666666666</v>
      </c>
      <c r="O160" s="4">
        <v>1</v>
      </c>
      <c r="P160" s="4">
        <v>2</v>
      </c>
      <c r="Q160" s="4">
        <v>3</v>
      </c>
      <c r="R160" s="4">
        <v>0</v>
      </c>
    </row>
    <row r="161" spans="1:18" x14ac:dyDescent="0.2">
      <c r="A161" s="1">
        <v>46098</v>
      </c>
      <c r="B161" s="6">
        <v>2</v>
      </c>
      <c r="C161" t="s">
        <v>18</v>
      </c>
      <c r="D161" t="s">
        <v>27</v>
      </c>
      <c r="F161" s="6"/>
      <c r="G161" s="4">
        <v>2</v>
      </c>
      <c r="H161" s="4">
        <v>4</v>
      </c>
      <c r="I161" s="4">
        <v>3</v>
      </c>
      <c r="J161" s="7">
        <f>IFERROR(Table1[[#This Row],[2pt FGM]]/Table1[[#This Row],[2pt FGatt]],0)</f>
        <v>0.75</v>
      </c>
      <c r="K161" s="4">
        <v>9</v>
      </c>
      <c r="L161" s="4">
        <v>7</v>
      </c>
      <c r="M161" s="4">
        <v>1</v>
      </c>
      <c r="N161" s="8">
        <f>IFERROR(Table1[[#This Row],[3 pts]]/Table1[[#This Row],[3pt att]],0)</f>
        <v>0.14285714285714285</v>
      </c>
      <c r="O161" s="4">
        <v>1</v>
      </c>
      <c r="P161" s="4">
        <v>4</v>
      </c>
      <c r="Q161" s="4">
        <v>0</v>
      </c>
      <c r="R161" s="4">
        <v>0</v>
      </c>
    </row>
    <row r="162" spans="1:18" x14ac:dyDescent="0.2">
      <c r="A162" s="1">
        <v>46098</v>
      </c>
      <c r="B162" s="6">
        <v>2</v>
      </c>
      <c r="C162" t="s">
        <v>11</v>
      </c>
      <c r="D162" t="s">
        <v>31</v>
      </c>
      <c r="F162" s="6"/>
      <c r="G162" s="4">
        <v>2</v>
      </c>
      <c r="H162" s="4">
        <v>7</v>
      </c>
      <c r="I162" s="4">
        <v>3</v>
      </c>
      <c r="J162" s="7">
        <f>IFERROR(Table1[[#This Row],[2pt FGM]]/Table1[[#This Row],[2pt FGatt]],0)</f>
        <v>0.42857142857142855</v>
      </c>
      <c r="K162" s="4">
        <v>9</v>
      </c>
      <c r="L162" s="4">
        <v>1</v>
      </c>
      <c r="M162" s="4">
        <v>1</v>
      </c>
      <c r="N162" s="8">
        <f>IFERROR(Table1[[#This Row],[3 pts]]/Table1[[#This Row],[3pt att]],0)</f>
        <v>1</v>
      </c>
      <c r="O162" s="4">
        <v>2</v>
      </c>
      <c r="P162" s="4">
        <v>2</v>
      </c>
      <c r="Q162" s="4">
        <v>3</v>
      </c>
      <c r="R162" s="4">
        <v>0</v>
      </c>
    </row>
    <row r="163" spans="1:18" x14ac:dyDescent="0.2">
      <c r="A163" s="1">
        <v>46098</v>
      </c>
      <c r="B163" s="6">
        <v>2</v>
      </c>
      <c r="C163" t="s">
        <v>20</v>
      </c>
      <c r="D163" t="s">
        <v>31</v>
      </c>
      <c r="F163" s="6"/>
      <c r="G163" s="4">
        <v>2</v>
      </c>
      <c r="H163" s="4">
        <v>6</v>
      </c>
      <c r="I163" s="4">
        <v>3</v>
      </c>
      <c r="J163" s="7">
        <f>IFERROR(Table1[[#This Row],[2pt FGM]]/Table1[[#This Row],[2pt FGatt]],0)</f>
        <v>0.5</v>
      </c>
      <c r="K163" s="4">
        <v>6</v>
      </c>
      <c r="L163" s="4">
        <v>0</v>
      </c>
      <c r="M163" s="4">
        <v>0</v>
      </c>
      <c r="N163" s="8">
        <f>IFERROR(Table1[[#This Row],[3 pts]]/Table1[[#This Row],[3pt att]],0)</f>
        <v>0</v>
      </c>
      <c r="O163" s="4">
        <v>4</v>
      </c>
      <c r="P163" s="4">
        <v>1</v>
      </c>
      <c r="Q163" s="4">
        <v>2</v>
      </c>
      <c r="R163" s="4">
        <v>0</v>
      </c>
    </row>
    <row r="164" spans="1:18" x14ac:dyDescent="0.2">
      <c r="A164" s="1">
        <v>46098</v>
      </c>
      <c r="B164" s="6">
        <v>2</v>
      </c>
      <c r="C164" t="s">
        <v>9</v>
      </c>
      <c r="D164" t="s">
        <v>31</v>
      </c>
      <c r="F164" s="6"/>
      <c r="G164" s="4">
        <v>2</v>
      </c>
      <c r="H164" s="4">
        <v>2</v>
      </c>
      <c r="I164" s="4">
        <v>2</v>
      </c>
      <c r="J164" s="7">
        <f>IFERROR(Table1[[#This Row],[2pt FGM]]/Table1[[#This Row],[2pt FGatt]],0)</f>
        <v>1</v>
      </c>
      <c r="K164" s="4">
        <v>19</v>
      </c>
      <c r="L164" s="4">
        <v>7</v>
      </c>
      <c r="M164" s="4">
        <v>5</v>
      </c>
      <c r="N164" s="8">
        <f>IFERROR(Table1[[#This Row],[3 pts]]/Table1[[#This Row],[3pt att]],0)</f>
        <v>0.7142857142857143</v>
      </c>
      <c r="O164" s="4">
        <v>4</v>
      </c>
      <c r="P164" s="4">
        <v>4</v>
      </c>
      <c r="Q164" s="4">
        <v>5</v>
      </c>
      <c r="R164" s="4">
        <v>0</v>
      </c>
    </row>
    <row r="165" spans="1:18" x14ac:dyDescent="0.2">
      <c r="A165" s="1">
        <v>46098</v>
      </c>
      <c r="B165" s="6">
        <v>2</v>
      </c>
      <c r="C165" t="s">
        <v>19</v>
      </c>
      <c r="D165" t="s">
        <v>31</v>
      </c>
      <c r="F165" s="6"/>
      <c r="G165" s="4">
        <v>2</v>
      </c>
      <c r="H165" s="4">
        <v>4</v>
      </c>
      <c r="I165" s="4">
        <v>1</v>
      </c>
      <c r="J165" s="7">
        <f>IFERROR(Table1[[#This Row],[2pt FGM]]/Table1[[#This Row],[2pt FGatt]],0)</f>
        <v>0.25</v>
      </c>
      <c r="K165" s="4">
        <v>8</v>
      </c>
      <c r="L165" s="4">
        <v>4</v>
      </c>
      <c r="M165" s="4">
        <v>2</v>
      </c>
      <c r="N165" s="8">
        <f>IFERROR(Table1[[#This Row],[3 pts]]/Table1[[#This Row],[3pt att]],0)</f>
        <v>0.5</v>
      </c>
      <c r="O165" s="4">
        <v>0</v>
      </c>
      <c r="P165" s="4">
        <v>3</v>
      </c>
      <c r="Q165" s="4">
        <v>3</v>
      </c>
      <c r="R165" s="4">
        <v>0</v>
      </c>
    </row>
    <row r="166" spans="1:18" x14ac:dyDescent="0.2">
      <c r="A166" s="1">
        <v>46098</v>
      </c>
      <c r="B166" s="6">
        <v>2</v>
      </c>
      <c r="C166" t="s">
        <v>7</v>
      </c>
      <c r="D166" t="s">
        <v>27</v>
      </c>
      <c r="F166" s="6"/>
      <c r="G166" s="4">
        <v>3</v>
      </c>
      <c r="H166" s="4">
        <v>11</v>
      </c>
      <c r="I166" s="4">
        <v>1</v>
      </c>
      <c r="J166" s="7">
        <f>IFERROR(Table1[[#This Row],[2pt FGM]]/Table1[[#This Row],[2pt FGatt]],0)</f>
        <v>9.0909090909090912E-2</v>
      </c>
      <c r="K166" s="4">
        <v>2</v>
      </c>
      <c r="L166" s="4">
        <v>1</v>
      </c>
      <c r="M166" s="4">
        <v>0</v>
      </c>
      <c r="N166" s="8">
        <f>IFERROR(Table1[[#This Row],[3 pts]]/Table1[[#This Row],[3pt att]],0)</f>
        <v>0</v>
      </c>
      <c r="O166" s="4">
        <v>17</v>
      </c>
      <c r="P166" s="4">
        <v>1</v>
      </c>
      <c r="Q166" s="4">
        <v>1</v>
      </c>
      <c r="R166" s="4">
        <v>0</v>
      </c>
    </row>
    <row r="167" spans="1:18" x14ac:dyDescent="0.2">
      <c r="A167" s="1">
        <v>46098</v>
      </c>
      <c r="B167" s="6">
        <v>2</v>
      </c>
      <c r="C167" t="s">
        <v>16</v>
      </c>
      <c r="D167" t="s">
        <v>27</v>
      </c>
      <c r="F167" s="6"/>
      <c r="G167" s="4">
        <v>3</v>
      </c>
      <c r="H167" s="4">
        <v>6</v>
      </c>
      <c r="I167" s="4">
        <v>3</v>
      </c>
      <c r="J167" s="7">
        <f>IFERROR(Table1[[#This Row],[2pt FGM]]/Table1[[#This Row],[2pt FGatt]],0)</f>
        <v>0.5</v>
      </c>
      <c r="K167" s="4">
        <v>6</v>
      </c>
      <c r="L167" s="4">
        <v>4</v>
      </c>
      <c r="M167" s="4">
        <v>0</v>
      </c>
      <c r="N167" s="8">
        <f>IFERROR(Table1[[#This Row],[3 pts]]/Table1[[#This Row],[3pt att]],0)</f>
        <v>0</v>
      </c>
      <c r="O167" s="4">
        <v>8</v>
      </c>
      <c r="P167" s="4">
        <v>4</v>
      </c>
      <c r="Q167" s="4">
        <v>0</v>
      </c>
      <c r="R167" s="4">
        <v>1</v>
      </c>
    </row>
    <row r="168" spans="1:18" x14ac:dyDescent="0.2">
      <c r="A168" s="1">
        <v>46098</v>
      </c>
      <c r="B168" s="6">
        <v>2</v>
      </c>
      <c r="C168" t="s">
        <v>17</v>
      </c>
      <c r="D168" t="s">
        <v>27</v>
      </c>
      <c r="F168" s="6"/>
      <c r="G168" s="4">
        <v>3</v>
      </c>
      <c r="H168" s="4">
        <v>0</v>
      </c>
      <c r="I168" s="4">
        <v>0</v>
      </c>
      <c r="J168" s="7">
        <f>IFERROR(Table1[[#This Row],[2pt FGM]]/Table1[[#This Row],[2pt FGatt]],0)</f>
        <v>0</v>
      </c>
      <c r="K168" s="4">
        <v>3</v>
      </c>
      <c r="L168" s="4">
        <v>7</v>
      </c>
      <c r="M168" s="4">
        <v>1</v>
      </c>
      <c r="N168" s="8">
        <f>IFERROR(Table1[[#This Row],[3 pts]]/Table1[[#This Row],[3pt att]],0)</f>
        <v>0.14285714285714285</v>
      </c>
      <c r="O168" s="4">
        <v>2</v>
      </c>
      <c r="P168" s="4">
        <v>0</v>
      </c>
      <c r="Q168" s="4">
        <v>1</v>
      </c>
      <c r="R168" s="4">
        <v>0</v>
      </c>
    </row>
    <row r="169" spans="1:18" x14ac:dyDescent="0.2">
      <c r="A169" s="1">
        <v>46098</v>
      </c>
      <c r="B169" s="6">
        <v>2</v>
      </c>
      <c r="C169" t="s">
        <v>18</v>
      </c>
      <c r="D169" t="s">
        <v>27</v>
      </c>
      <c r="F169" s="6"/>
      <c r="G169" s="4">
        <v>3</v>
      </c>
      <c r="H169" s="4">
        <v>9</v>
      </c>
      <c r="I169" s="4">
        <v>2</v>
      </c>
      <c r="J169" s="7">
        <f>IFERROR(Table1[[#This Row],[2pt FGM]]/Table1[[#This Row],[2pt FGatt]],0)</f>
        <v>0.22222222222222221</v>
      </c>
      <c r="K169" s="4">
        <v>7</v>
      </c>
      <c r="L169" s="4">
        <v>9</v>
      </c>
      <c r="M169" s="4">
        <v>1</v>
      </c>
      <c r="N169" s="8">
        <f>IFERROR(Table1[[#This Row],[3 pts]]/Table1[[#This Row],[3pt att]],0)</f>
        <v>0.1111111111111111</v>
      </c>
      <c r="O169" s="4">
        <v>3</v>
      </c>
      <c r="P169" s="4">
        <v>2</v>
      </c>
      <c r="Q169" s="4">
        <v>1</v>
      </c>
      <c r="R169" s="4">
        <v>0</v>
      </c>
    </row>
    <row r="170" spans="1:18" x14ac:dyDescent="0.2">
      <c r="A170" s="1">
        <v>46098</v>
      </c>
      <c r="B170" s="6">
        <v>2</v>
      </c>
      <c r="C170" t="s">
        <v>11</v>
      </c>
      <c r="D170" t="s">
        <v>31</v>
      </c>
      <c r="F170" s="6"/>
      <c r="G170" s="4">
        <v>3</v>
      </c>
      <c r="H170" s="4">
        <v>5</v>
      </c>
      <c r="I170" s="4">
        <v>1</v>
      </c>
      <c r="J170" s="7">
        <f>IFERROR(Table1[[#This Row],[2pt FGM]]/Table1[[#This Row],[2pt FGatt]],0)</f>
        <v>0.2</v>
      </c>
      <c r="K170" s="4">
        <v>2</v>
      </c>
      <c r="L170" s="4">
        <v>1</v>
      </c>
      <c r="M170" s="4">
        <v>0</v>
      </c>
      <c r="N170" s="8">
        <f>IFERROR(Table1[[#This Row],[3 pts]]/Table1[[#This Row],[3pt att]],0)</f>
        <v>0</v>
      </c>
      <c r="O170" s="4">
        <v>4</v>
      </c>
      <c r="P170" s="4">
        <v>4</v>
      </c>
      <c r="Q170" s="4">
        <v>3</v>
      </c>
      <c r="R170" s="4">
        <v>0</v>
      </c>
    </row>
    <row r="171" spans="1:18" x14ac:dyDescent="0.2">
      <c r="A171" s="1">
        <v>46098</v>
      </c>
      <c r="B171" s="6">
        <v>2</v>
      </c>
      <c r="C171" t="s">
        <v>20</v>
      </c>
      <c r="D171" t="s">
        <v>31</v>
      </c>
      <c r="F171" s="6"/>
      <c r="G171" s="4">
        <v>3</v>
      </c>
      <c r="H171" s="4">
        <v>7</v>
      </c>
      <c r="I171" s="4">
        <v>2</v>
      </c>
      <c r="J171" s="7">
        <f>IFERROR(Table1[[#This Row],[2pt FGM]]/Table1[[#This Row],[2pt FGatt]],0)</f>
        <v>0.2857142857142857</v>
      </c>
      <c r="K171" s="4">
        <v>4</v>
      </c>
      <c r="L171" s="4">
        <v>3</v>
      </c>
      <c r="M171" s="4">
        <v>0</v>
      </c>
      <c r="N171" s="8">
        <f>IFERROR(Table1[[#This Row],[3 pts]]/Table1[[#This Row],[3pt att]],0)</f>
        <v>0</v>
      </c>
      <c r="O171" s="4">
        <v>13</v>
      </c>
      <c r="P171" s="4">
        <v>0</v>
      </c>
      <c r="Q171" s="4">
        <v>1</v>
      </c>
      <c r="R171" s="4">
        <v>0</v>
      </c>
    </row>
    <row r="172" spans="1:18" x14ac:dyDescent="0.2">
      <c r="A172" s="1">
        <v>46098</v>
      </c>
      <c r="B172" s="6">
        <v>2</v>
      </c>
      <c r="C172" t="s">
        <v>9</v>
      </c>
      <c r="D172" t="s">
        <v>31</v>
      </c>
      <c r="F172" s="6"/>
      <c r="G172" s="4">
        <v>3</v>
      </c>
      <c r="H172" s="4">
        <v>3</v>
      </c>
      <c r="I172" s="4">
        <v>2</v>
      </c>
      <c r="J172" s="7">
        <f>IFERROR(Table1[[#This Row],[2pt FGM]]/Table1[[#This Row],[2pt FGatt]],0)</f>
        <v>0.66666666666666663</v>
      </c>
      <c r="K172" s="4">
        <v>4</v>
      </c>
      <c r="L172" s="4">
        <v>3</v>
      </c>
      <c r="M172" s="4">
        <v>0</v>
      </c>
      <c r="N172" s="8">
        <f>IFERROR(Table1[[#This Row],[3 pts]]/Table1[[#This Row],[3pt att]],0)</f>
        <v>0</v>
      </c>
      <c r="O172" s="4">
        <v>5</v>
      </c>
      <c r="P172" s="4">
        <v>1</v>
      </c>
      <c r="Q172" s="4">
        <v>1</v>
      </c>
      <c r="R172" s="4">
        <v>1</v>
      </c>
    </row>
    <row r="173" spans="1:18" x14ac:dyDescent="0.2">
      <c r="A173" s="1">
        <v>46098</v>
      </c>
      <c r="B173" s="6">
        <v>2</v>
      </c>
      <c r="C173" t="s">
        <v>19</v>
      </c>
      <c r="D173" t="s">
        <v>31</v>
      </c>
      <c r="F173" s="6"/>
      <c r="G173" s="4">
        <v>3</v>
      </c>
      <c r="H173" s="4">
        <v>6</v>
      </c>
      <c r="I173" s="4">
        <v>1</v>
      </c>
      <c r="J173" s="7">
        <f>IFERROR(Table1[[#This Row],[2pt FGM]]/Table1[[#This Row],[2pt FGatt]],0)</f>
        <v>0.16666666666666666</v>
      </c>
      <c r="K173" s="4">
        <v>8</v>
      </c>
      <c r="L173" s="4">
        <v>6</v>
      </c>
      <c r="M173" s="4">
        <v>2</v>
      </c>
      <c r="N173" s="8">
        <f>IFERROR(Table1[[#This Row],[3 pts]]/Table1[[#This Row],[3pt att]],0)</f>
        <v>0.33333333333333331</v>
      </c>
      <c r="O173" s="4">
        <v>6</v>
      </c>
      <c r="P173" s="4">
        <v>0</v>
      </c>
      <c r="Q173" s="4">
        <v>0</v>
      </c>
      <c r="R173" s="4">
        <v>0</v>
      </c>
    </row>
    <row r="174" spans="1:18" x14ac:dyDescent="0.2">
      <c r="A174" s="1">
        <v>46135</v>
      </c>
      <c r="B174" s="6">
        <v>2</v>
      </c>
      <c r="C174" t="s">
        <v>7</v>
      </c>
      <c r="D174" t="s">
        <v>27</v>
      </c>
      <c r="F174" s="6"/>
      <c r="G174" s="4">
        <v>1</v>
      </c>
      <c r="H174" s="4">
        <v>10</v>
      </c>
      <c r="I174" s="4">
        <v>4</v>
      </c>
      <c r="J174" s="7">
        <f>IFERROR(Table1[[#This Row],[2pt FGM]]/Table1[[#This Row],[2pt FGatt]],0)</f>
        <v>0.4</v>
      </c>
      <c r="K174" s="4">
        <v>8</v>
      </c>
      <c r="L174" s="4">
        <v>4</v>
      </c>
      <c r="M174" s="4">
        <v>0</v>
      </c>
      <c r="N174" s="8">
        <f>IFERROR(Table1[[#This Row],[3 pts]]/Table1[[#This Row],[3pt att]],0)</f>
        <v>0</v>
      </c>
      <c r="O174" s="4">
        <v>11</v>
      </c>
      <c r="P174" s="4">
        <v>7</v>
      </c>
      <c r="Q174" s="4">
        <v>2</v>
      </c>
      <c r="R174" s="4">
        <v>0</v>
      </c>
    </row>
    <row r="175" spans="1:18" x14ac:dyDescent="0.2">
      <c r="A175" s="1">
        <v>46135</v>
      </c>
      <c r="B175" s="6">
        <v>2</v>
      </c>
      <c r="C175" t="s">
        <v>16</v>
      </c>
      <c r="D175" t="s">
        <v>27</v>
      </c>
      <c r="F175" s="6"/>
      <c r="G175" s="4">
        <v>1</v>
      </c>
      <c r="H175" s="4">
        <v>4</v>
      </c>
      <c r="I175" s="4">
        <v>3</v>
      </c>
      <c r="J175" s="7">
        <f>IFERROR(Table1[[#This Row],[2pt FGM]]/Table1[[#This Row],[2pt FGatt]],0)</f>
        <v>0.75</v>
      </c>
      <c r="K175" s="4">
        <v>6</v>
      </c>
      <c r="L175" s="4">
        <v>1</v>
      </c>
      <c r="M175" s="4">
        <v>0</v>
      </c>
      <c r="N175" s="8">
        <f>IFERROR(Table1[[#This Row],[3 pts]]/Table1[[#This Row],[3pt att]],0)</f>
        <v>0</v>
      </c>
      <c r="O175" s="4">
        <v>5</v>
      </c>
      <c r="P175" s="4">
        <v>1</v>
      </c>
      <c r="Q175" s="4">
        <v>1</v>
      </c>
      <c r="R175" s="4">
        <v>0</v>
      </c>
    </row>
    <row r="176" spans="1:18" x14ac:dyDescent="0.2">
      <c r="A176" s="1">
        <v>46135</v>
      </c>
      <c r="B176" s="6">
        <v>2</v>
      </c>
      <c r="C176" t="s">
        <v>17</v>
      </c>
      <c r="D176" t="s">
        <v>27</v>
      </c>
      <c r="F176" s="6"/>
      <c r="G176" s="4">
        <v>1</v>
      </c>
      <c r="H176" s="4">
        <v>7</v>
      </c>
      <c r="I176" s="4">
        <v>1</v>
      </c>
      <c r="J176" s="7">
        <f>IFERROR(Table1[[#This Row],[2pt FGM]]/Table1[[#This Row],[2pt FGatt]],0)</f>
        <v>0.14285714285714285</v>
      </c>
      <c r="K176" s="4">
        <v>5</v>
      </c>
      <c r="L176" s="4">
        <v>4</v>
      </c>
      <c r="M176" s="4">
        <v>1</v>
      </c>
      <c r="N176" s="8">
        <f>IFERROR(Table1[[#This Row],[3 pts]]/Table1[[#This Row],[3pt att]],0)</f>
        <v>0.25</v>
      </c>
      <c r="O176" s="4">
        <v>5</v>
      </c>
      <c r="P176" s="4">
        <v>2</v>
      </c>
      <c r="Q176" s="4">
        <v>0</v>
      </c>
      <c r="R176" s="4">
        <v>0</v>
      </c>
    </row>
    <row r="177" spans="1:18" x14ac:dyDescent="0.2">
      <c r="A177" s="1">
        <v>46135</v>
      </c>
      <c r="B177" s="6">
        <v>2</v>
      </c>
      <c r="C177" t="s">
        <v>18</v>
      </c>
      <c r="D177" t="s">
        <v>27</v>
      </c>
      <c r="F177" s="6"/>
      <c r="G177" s="4">
        <v>1</v>
      </c>
      <c r="H177" s="4">
        <v>5</v>
      </c>
      <c r="I177" s="4">
        <v>1</v>
      </c>
      <c r="J177" s="7">
        <f>IFERROR(Table1[[#This Row],[2pt FGM]]/Table1[[#This Row],[2pt FGatt]],0)</f>
        <v>0.2</v>
      </c>
      <c r="K177" s="4">
        <v>2</v>
      </c>
      <c r="L177" s="4">
        <v>7</v>
      </c>
      <c r="M177" s="4">
        <v>0</v>
      </c>
      <c r="N177" s="8">
        <f>IFERROR(Table1[[#This Row],[3 pts]]/Table1[[#This Row],[3pt att]],0)</f>
        <v>0</v>
      </c>
      <c r="O177" s="4">
        <v>2</v>
      </c>
      <c r="P177" s="4">
        <v>2</v>
      </c>
      <c r="Q177" s="4">
        <v>1</v>
      </c>
      <c r="R177" s="4">
        <v>0</v>
      </c>
    </row>
    <row r="178" spans="1:18" x14ac:dyDescent="0.2">
      <c r="A178" s="1">
        <v>46135</v>
      </c>
      <c r="B178" s="6">
        <v>2</v>
      </c>
      <c r="C178" t="s">
        <v>11</v>
      </c>
      <c r="D178" t="s">
        <v>31</v>
      </c>
      <c r="F178" s="6"/>
      <c r="G178" s="4">
        <v>1</v>
      </c>
      <c r="H178" s="4">
        <v>4</v>
      </c>
      <c r="I178" s="4">
        <v>1</v>
      </c>
      <c r="J178" s="7">
        <f>IFERROR(Table1[[#This Row],[2pt FGM]]/Table1[[#This Row],[2pt FGatt]],0)</f>
        <v>0.25</v>
      </c>
      <c r="K178" s="4">
        <v>5</v>
      </c>
      <c r="L178" s="4">
        <v>5</v>
      </c>
      <c r="M178" s="4">
        <v>1</v>
      </c>
      <c r="N178" s="8">
        <f>IFERROR(Table1[[#This Row],[3 pts]]/Table1[[#This Row],[3pt att]],0)</f>
        <v>0.2</v>
      </c>
      <c r="O178" s="4">
        <v>1</v>
      </c>
      <c r="P178" s="4">
        <v>3</v>
      </c>
      <c r="Q178" s="4">
        <v>3</v>
      </c>
      <c r="R178" s="4">
        <v>0</v>
      </c>
    </row>
    <row r="179" spans="1:18" x14ac:dyDescent="0.2">
      <c r="A179" s="1">
        <v>46135</v>
      </c>
      <c r="B179" s="6">
        <v>2</v>
      </c>
      <c r="C179" t="s">
        <v>20</v>
      </c>
      <c r="D179" t="s">
        <v>31</v>
      </c>
      <c r="F179" s="6"/>
      <c r="G179" s="4">
        <v>1</v>
      </c>
      <c r="H179" s="4">
        <v>7</v>
      </c>
      <c r="I179" s="4">
        <v>2</v>
      </c>
      <c r="J179" s="7">
        <f>IFERROR(Table1[[#This Row],[2pt FGM]]/Table1[[#This Row],[2pt FGatt]],0)</f>
        <v>0.2857142857142857</v>
      </c>
      <c r="K179" s="4">
        <v>4</v>
      </c>
      <c r="L179" s="4">
        <v>0</v>
      </c>
      <c r="M179" s="4">
        <v>0</v>
      </c>
      <c r="N179" s="8">
        <f>IFERROR(Table1[[#This Row],[3 pts]]/Table1[[#This Row],[3pt att]],0)</f>
        <v>0</v>
      </c>
      <c r="O179" s="4">
        <v>5</v>
      </c>
      <c r="P179" s="4">
        <v>1</v>
      </c>
      <c r="Q179" s="4">
        <v>0</v>
      </c>
      <c r="R179" s="4">
        <v>0</v>
      </c>
    </row>
    <row r="180" spans="1:18" x14ac:dyDescent="0.2">
      <c r="A180" s="1">
        <v>46135</v>
      </c>
      <c r="B180" s="6">
        <v>2</v>
      </c>
      <c r="C180" t="s">
        <v>9</v>
      </c>
      <c r="D180" t="s">
        <v>31</v>
      </c>
      <c r="F180" s="6"/>
      <c r="G180" s="4">
        <v>1</v>
      </c>
      <c r="H180" s="4">
        <v>4</v>
      </c>
      <c r="I180" s="4">
        <v>2</v>
      </c>
      <c r="J180" s="7">
        <f>IFERROR(Table1[[#This Row],[2pt FGM]]/Table1[[#This Row],[2pt FGatt]],0)</f>
        <v>0.5</v>
      </c>
      <c r="K180" s="4">
        <v>13</v>
      </c>
      <c r="L180" s="4">
        <v>6</v>
      </c>
      <c r="M180" s="4">
        <v>3</v>
      </c>
      <c r="N180" s="8">
        <f>IFERROR(Table1[[#This Row],[3 pts]]/Table1[[#This Row],[3pt att]],0)</f>
        <v>0.5</v>
      </c>
      <c r="O180" s="4">
        <v>5</v>
      </c>
      <c r="P180" s="4">
        <v>3</v>
      </c>
      <c r="Q180" s="4">
        <v>3</v>
      </c>
      <c r="R180" s="4">
        <v>2</v>
      </c>
    </row>
    <row r="181" spans="1:18" x14ac:dyDescent="0.2">
      <c r="A181" s="1">
        <v>46135</v>
      </c>
      <c r="B181" s="6">
        <v>2</v>
      </c>
      <c r="C181" t="s">
        <v>19</v>
      </c>
      <c r="D181" t="s">
        <v>31</v>
      </c>
      <c r="F181" s="6"/>
      <c r="G181" s="4">
        <v>1</v>
      </c>
      <c r="H181" s="4">
        <v>4</v>
      </c>
      <c r="I181" s="4">
        <v>2</v>
      </c>
      <c r="J181" s="7">
        <f>IFERROR(Table1[[#This Row],[2pt FGM]]/Table1[[#This Row],[2pt FGatt]],0)</f>
        <v>0.5</v>
      </c>
      <c r="K181" s="4">
        <v>4</v>
      </c>
      <c r="L181" s="4">
        <v>0</v>
      </c>
      <c r="M181" s="4">
        <v>0</v>
      </c>
      <c r="N181" s="8">
        <f>IFERROR(Table1[[#This Row],[3 pts]]/Table1[[#This Row],[3pt att]],0)</f>
        <v>0</v>
      </c>
      <c r="O181" s="4">
        <v>6</v>
      </c>
      <c r="P181" s="4">
        <v>2</v>
      </c>
      <c r="Q181" s="4">
        <v>5</v>
      </c>
      <c r="R181" s="4">
        <v>1</v>
      </c>
    </row>
    <row r="182" spans="1:18" x14ac:dyDescent="0.2">
      <c r="A182" s="1">
        <v>46135</v>
      </c>
      <c r="B182" s="6">
        <v>2</v>
      </c>
      <c r="C182" t="s">
        <v>7</v>
      </c>
      <c r="D182" t="s">
        <v>27</v>
      </c>
      <c r="F182" s="6"/>
      <c r="G182" s="4">
        <v>2</v>
      </c>
      <c r="H182" s="4">
        <v>6</v>
      </c>
      <c r="I182" s="4">
        <v>1</v>
      </c>
      <c r="J182" s="7">
        <f>IFERROR(Table1[[#This Row],[2pt FGM]]/Table1[[#This Row],[2pt FGatt]],0)</f>
        <v>0.16666666666666666</v>
      </c>
      <c r="K182" s="4">
        <v>2</v>
      </c>
      <c r="L182" s="4">
        <v>1</v>
      </c>
      <c r="M182" s="4">
        <v>0</v>
      </c>
      <c r="N182" s="8">
        <f>IFERROR(Table1[[#This Row],[3 pts]]/Table1[[#This Row],[3pt att]],0)</f>
        <v>0</v>
      </c>
      <c r="O182" s="4">
        <v>10</v>
      </c>
      <c r="P182" s="4">
        <v>6</v>
      </c>
      <c r="Q182" s="4">
        <v>3</v>
      </c>
      <c r="R182" s="4">
        <v>1</v>
      </c>
    </row>
    <row r="183" spans="1:18" x14ac:dyDescent="0.2">
      <c r="A183" s="1">
        <v>46135</v>
      </c>
      <c r="B183" s="6">
        <v>2</v>
      </c>
      <c r="C183" t="s">
        <v>16</v>
      </c>
      <c r="D183" t="s">
        <v>27</v>
      </c>
      <c r="F183" s="6"/>
      <c r="G183" s="4">
        <v>2</v>
      </c>
      <c r="H183" s="4">
        <v>3</v>
      </c>
      <c r="I183" s="4">
        <v>1</v>
      </c>
      <c r="J183" s="7">
        <f>IFERROR(Table1[[#This Row],[2pt FGM]]/Table1[[#This Row],[2pt FGatt]],0)</f>
        <v>0.33333333333333331</v>
      </c>
      <c r="K183" s="4">
        <v>2</v>
      </c>
      <c r="L183" s="4">
        <v>2</v>
      </c>
      <c r="M183" s="4">
        <v>0</v>
      </c>
      <c r="N183" s="8">
        <f>IFERROR(Table1[[#This Row],[3 pts]]/Table1[[#This Row],[3pt att]],0)</f>
        <v>0</v>
      </c>
      <c r="O183" s="4">
        <v>9</v>
      </c>
      <c r="P183" s="4">
        <v>3</v>
      </c>
      <c r="Q183" s="4">
        <v>5</v>
      </c>
      <c r="R183" s="4">
        <v>0</v>
      </c>
    </row>
    <row r="184" spans="1:18" x14ac:dyDescent="0.2">
      <c r="A184" s="1">
        <v>46135</v>
      </c>
      <c r="B184" s="6">
        <v>2</v>
      </c>
      <c r="C184" t="s">
        <v>17</v>
      </c>
      <c r="D184" t="s">
        <v>27</v>
      </c>
      <c r="F184" s="6"/>
      <c r="G184" s="4">
        <v>2</v>
      </c>
      <c r="H184" s="4">
        <v>5</v>
      </c>
      <c r="I184" s="4">
        <v>2</v>
      </c>
      <c r="J184" s="7">
        <f>IFERROR(Table1[[#This Row],[2pt FGM]]/Table1[[#This Row],[2pt FGatt]],0)</f>
        <v>0.4</v>
      </c>
      <c r="K184" s="4">
        <v>10</v>
      </c>
      <c r="L184" s="4">
        <v>6</v>
      </c>
      <c r="M184" s="4">
        <v>2</v>
      </c>
      <c r="N184" s="8">
        <f>IFERROR(Table1[[#This Row],[3 pts]]/Table1[[#This Row],[3pt att]],0)</f>
        <v>0.33333333333333331</v>
      </c>
      <c r="O184" s="4">
        <v>6</v>
      </c>
      <c r="P184" s="4">
        <v>1</v>
      </c>
      <c r="Q184" s="4">
        <v>0</v>
      </c>
      <c r="R184" s="4">
        <v>0</v>
      </c>
    </row>
    <row r="185" spans="1:18" x14ac:dyDescent="0.2">
      <c r="A185" s="1">
        <v>46135</v>
      </c>
      <c r="B185" s="6">
        <v>2</v>
      </c>
      <c r="C185" t="s">
        <v>18</v>
      </c>
      <c r="D185" t="s">
        <v>27</v>
      </c>
      <c r="F185" s="6"/>
      <c r="G185" s="4">
        <v>2</v>
      </c>
      <c r="H185" s="4">
        <v>2</v>
      </c>
      <c r="I185" s="4">
        <v>0</v>
      </c>
      <c r="J185" s="7">
        <f>IFERROR(Table1[[#This Row],[2pt FGM]]/Table1[[#This Row],[2pt FGatt]],0)</f>
        <v>0</v>
      </c>
      <c r="K185" s="4">
        <v>15</v>
      </c>
      <c r="L185" s="4">
        <v>14</v>
      </c>
      <c r="M185" s="4">
        <v>5</v>
      </c>
      <c r="N185" s="8">
        <f>IFERROR(Table1[[#This Row],[3 pts]]/Table1[[#This Row],[3pt att]],0)</f>
        <v>0.35714285714285715</v>
      </c>
      <c r="O185" s="4">
        <v>2</v>
      </c>
      <c r="P185" s="4">
        <v>3</v>
      </c>
      <c r="Q185" s="4">
        <v>0</v>
      </c>
      <c r="R185" s="4">
        <v>0</v>
      </c>
    </row>
    <row r="186" spans="1:18" x14ac:dyDescent="0.2">
      <c r="A186" s="1">
        <v>46135</v>
      </c>
      <c r="B186" s="6">
        <v>2</v>
      </c>
      <c r="C186" t="s">
        <v>11</v>
      </c>
      <c r="D186" t="s">
        <v>31</v>
      </c>
      <c r="F186" s="6"/>
      <c r="G186" s="4">
        <v>2</v>
      </c>
      <c r="H186" s="4">
        <v>7</v>
      </c>
      <c r="I186" s="4">
        <v>0</v>
      </c>
      <c r="J186" s="7">
        <f>IFERROR(Table1[[#This Row],[2pt FGM]]/Table1[[#This Row],[2pt FGatt]],0)</f>
        <v>0</v>
      </c>
      <c r="K186" s="4">
        <v>0</v>
      </c>
      <c r="L186" s="4">
        <v>4</v>
      </c>
      <c r="M186" s="4">
        <v>0</v>
      </c>
      <c r="N186" s="8">
        <f>IFERROR(Table1[[#This Row],[3 pts]]/Table1[[#This Row],[3pt att]],0)</f>
        <v>0</v>
      </c>
      <c r="O186" s="4">
        <v>10</v>
      </c>
      <c r="P186" s="4">
        <v>3</v>
      </c>
      <c r="Q186" s="4">
        <v>3</v>
      </c>
      <c r="R186" s="4">
        <v>0</v>
      </c>
    </row>
    <row r="187" spans="1:18" x14ac:dyDescent="0.2">
      <c r="A187" s="1">
        <v>46135</v>
      </c>
      <c r="B187" s="6">
        <v>2</v>
      </c>
      <c r="C187" t="s">
        <v>20</v>
      </c>
      <c r="D187" t="s">
        <v>31</v>
      </c>
      <c r="F187" s="6"/>
      <c r="G187" s="4">
        <v>2</v>
      </c>
      <c r="H187" s="4">
        <v>10</v>
      </c>
      <c r="I187" s="4">
        <v>2</v>
      </c>
      <c r="J187" s="7">
        <f>IFERROR(Table1[[#This Row],[2pt FGM]]/Table1[[#This Row],[2pt FGatt]],0)</f>
        <v>0.2</v>
      </c>
      <c r="K187" s="4">
        <v>4</v>
      </c>
      <c r="L187" s="4">
        <v>0</v>
      </c>
      <c r="M187" s="4">
        <v>0</v>
      </c>
      <c r="N187" s="8">
        <f>IFERROR(Table1[[#This Row],[3 pts]]/Table1[[#This Row],[3pt att]],0)</f>
        <v>0</v>
      </c>
      <c r="O187" s="4">
        <v>8</v>
      </c>
      <c r="P187" s="4">
        <v>3</v>
      </c>
      <c r="Q187" s="4">
        <v>0</v>
      </c>
      <c r="R187" s="4">
        <v>0</v>
      </c>
    </row>
    <row r="188" spans="1:18" x14ac:dyDescent="0.2">
      <c r="A188" s="1">
        <v>46135</v>
      </c>
      <c r="B188" s="6">
        <v>2</v>
      </c>
      <c r="C188" t="s">
        <v>9</v>
      </c>
      <c r="D188" t="s">
        <v>31</v>
      </c>
      <c r="F188" s="6"/>
      <c r="G188" s="4">
        <v>2</v>
      </c>
      <c r="H188" s="4">
        <v>5</v>
      </c>
      <c r="I188" s="4">
        <v>1</v>
      </c>
      <c r="J188" s="7">
        <f>IFERROR(Table1[[#This Row],[2pt FGM]]/Table1[[#This Row],[2pt FGatt]],0)</f>
        <v>0.2</v>
      </c>
      <c r="K188" s="4">
        <v>11</v>
      </c>
      <c r="L188" s="4">
        <v>7</v>
      </c>
      <c r="M188" s="4">
        <v>3</v>
      </c>
      <c r="N188" s="8">
        <f>IFERROR(Table1[[#This Row],[3 pts]]/Table1[[#This Row],[3pt att]],0)</f>
        <v>0.42857142857142855</v>
      </c>
      <c r="O188" s="4">
        <v>7</v>
      </c>
      <c r="P188" s="4">
        <v>5</v>
      </c>
      <c r="Q188" s="4">
        <v>2</v>
      </c>
      <c r="R188" s="4">
        <v>1</v>
      </c>
    </row>
    <row r="189" spans="1:18" x14ac:dyDescent="0.2">
      <c r="A189" s="1">
        <v>46135</v>
      </c>
      <c r="B189" s="6">
        <v>2</v>
      </c>
      <c r="C189" t="s">
        <v>7</v>
      </c>
      <c r="D189" t="s">
        <v>27</v>
      </c>
      <c r="F189" s="6"/>
      <c r="G189" s="4">
        <v>3</v>
      </c>
      <c r="H189" s="4">
        <v>2</v>
      </c>
      <c r="I189" s="4">
        <v>1</v>
      </c>
      <c r="J189" s="7">
        <f>IFERROR(Table1[[#This Row],[2pt FGM]]/Table1[[#This Row],[2pt FGatt]],0)</f>
        <v>0.5</v>
      </c>
      <c r="K189" s="4">
        <v>2</v>
      </c>
      <c r="L189" s="4">
        <v>2</v>
      </c>
      <c r="M189" s="4">
        <v>0</v>
      </c>
      <c r="N189" s="8">
        <f>IFERROR(Table1[[#This Row],[3 pts]]/Table1[[#This Row],[3pt att]],0)</f>
        <v>0</v>
      </c>
      <c r="O189" s="4">
        <v>10</v>
      </c>
      <c r="P189" s="4">
        <v>1</v>
      </c>
      <c r="Q189" s="4">
        <v>1</v>
      </c>
      <c r="R189" s="4">
        <v>1</v>
      </c>
    </row>
    <row r="190" spans="1:18" x14ac:dyDescent="0.2">
      <c r="A190" s="1">
        <v>46135</v>
      </c>
      <c r="B190" s="6">
        <v>2</v>
      </c>
      <c r="C190" t="s">
        <v>16</v>
      </c>
      <c r="D190" t="s">
        <v>27</v>
      </c>
      <c r="F190" s="6"/>
      <c r="G190" s="4">
        <v>3</v>
      </c>
      <c r="H190" s="4">
        <v>2</v>
      </c>
      <c r="I190" s="4">
        <v>1</v>
      </c>
      <c r="J190" s="7">
        <f>IFERROR(Table1[[#This Row],[2pt FGM]]/Table1[[#This Row],[2pt FGatt]],0)</f>
        <v>0.5</v>
      </c>
      <c r="K190" s="4">
        <v>8</v>
      </c>
      <c r="L190" s="4">
        <v>4</v>
      </c>
      <c r="M190" s="4">
        <v>2</v>
      </c>
      <c r="N190" s="8">
        <f>IFERROR(Table1[[#This Row],[3 pts]]/Table1[[#This Row],[3pt att]],0)</f>
        <v>0.5</v>
      </c>
      <c r="O190" s="4">
        <v>7</v>
      </c>
      <c r="P190" s="4">
        <v>1</v>
      </c>
      <c r="Q190" s="4">
        <v>5</v>
      </c>
      <c r="R190" s="4">
        <v>1</v>
      </c>
    </row>
    <row r="191" spans="1:18" x14ac:dyDescent="0.2">
      <c r="A191" s="1">
        <v>46135</v>
      </c>
      <c r="B191" s="6">
        <v>2</v>
      </c>
      <c r="C191" t="s">
        <v>17</v>
      </c>
      <c r="D191" t="s">
        <v>27</v>
      </c>
      <c r="F191" s="6"/>
      <c r="G191" s="4">
        <v>3</v>
      </c>
      <c r="H191" s="4">
        <v>4</v>
      </c>
      <c r="I191" s="4">
        <v>2</v>
      </c>
      <c r="J191" s="7">
        <f>IFERROR(Table1[[#This Row],[2pt FGM]]/Table1[[#This Row],[2pt FGatt]],0)</f>
        <v>0.5</v>
      </c>
      <c r="K191" s="4">
        <v>4</v>
      </c>
      <c r="L191" s="4">
        <v>3</v>
      </c>
      <c r="M191" s="4">
        <v>0</v>
      </c>
      <c r="N191" s="8">
        <f>IFERROR(Table1[[#This Row],[3 pts]]/Table1[[#This Row],[3pt att]],0)</f>
        <v>0</v>
      </c>
      <c r="O191" s="4">
        <v>2</v>
      </c>
      <c r="P191" s="4">
        <v>3</v>
      </c>
      <c r="Q191" s="4">
        <v>0</v>
      </c>
      <c r="R191" s="4">
        <v>0</v>
      </c>
    </row>
    <row r="192" spans="1:18" x14ac:dyDescent="0.2">
      <c r="A192" s="1">
        <v>46135</v>
      </c>
      <c r="B192" s="6">
        <v>2</v>
      </c>
      <c r="C192" t="s">
        <v>18</v>
      </c>
      <c r="D192" t="s">
        <v>27</v>
      </c>
      <c r="F192" s="6"/>
      <c r="G192" s="4">
        <v>3</v>
      </c>
      <c r="H192" s="4">
        <v>3</v>
      </c>
      <c r="I192" s="4">
        <v>1</v>
      </c>
      <c r="J192" s="7">
        <f>IFERROR(Table1[[#This Row],[2pt FGM]]/Table1[[#This Row],[2pt FGatt]],0)</f>
        <v>0.33333333333333331</v>
      </c>
      <c r="K192" s="4">
        <v>11</v>
      </c>
      <c r="L192" s="4">
        <v>10</v>
      </c>
      <c r="M192" s="4">
        <v>3</v>
      </c>
      <c r="N192" s="8">
        <f>IFERROR(Table1[[#This Row],[3 pts]]/Table1[[#This Row],[3pt att]],0)</f>
        <v>0.3</v>
      </c>
      <c r="O192" s="4">
        <v>2</v>
      </c>
      <c r="P192" s="4">
        <v>1</v>
      </c>
      <c r="Q192" s="4">
        <v>1</v>
      </c>
      <c r="R192" s="4">
        <v>0</v>
      </c>
    </row>
    <row r="193" spans="1:18" x14ac:dyDescent="0.2">
      <c r="A193" s="1">
        <v>46135</v>
      </c>
      <c r="B193" s="6">
        <v>2</v>
      </c>
      <c r="C193" t="s">
        <v>11</v>
      </c>
      <c r="D193" t="s">
        <v>31</v>
      </c>
      <c r="F193" s="6"/>
      <c r="G193" s="4">
        <v>3</v>
      </c>
      <c r="H193" s="4">
        <v>4</v>
      </c>
      <c r="I193" s="4">
        <v>0</v>
      </c>
      <c r="J193" s="7">
        <f>IFERROR(Table1[[#This Row],[2pt FGM]]/Table1[[#This Row],[2pt FGatt]],0)</f>
        <v>0</v>
      </c>
      <c r="K193" s="4">
        <v>0</v>
      </c>
      <c r="L193" s="4">
        <v>2</v>
      </c>
      <c r="M193" s="4">
        <v>0</v>
      </c>
      <c r="N193" s="8">
        <f>IFERROR(Table1[[#This Row],[3 pts]]/Table1[[#This Row],[3pt att]],0)</f>
        <v>0</v>
      </c>
      <c r="O193" s="4">
        <v>6</v>
      </c>
      <c r="P193" s="4">
        <v>1</v>
      </c>
      <c r="Q193" s="4">
        <v>0</v>
      </c>
      <c r="R193" s="4">
        <v>0</v>
      </c>
    </row>
    <row r="194" spans="1:18" x14ac:dyDescent="0.2">
      <c r="A194" s="1">
        <v>46135</v>
      </c>
      <c r="B194" s="6">
        <v>2</v>
      </c>
      <c r="C194" t="s">
        <v>20</v>
      </c>
      <c r="D194" t="s">
        <v>31</v>
      </c>
      <c r="F194" s="6"/>
      <c r="G194" s="4">
        <v>3</v>
      </c>
      <c r="H194" s="4">
        <v>7</v>
      </c>
      <c r="I194" s="4">
        <v>2</v>
      </c>
      <c r="J194" s="7">
        <f>IFERROR(Table1[[#This Row],[2pt FGM]]/Table1[[#This Row],[2pt FGatt]],0)</f>
        <v>0.2857142857142857</v>
      </c>
      <c r="K194" s="4">
        <v>4</v>
      </c>
      <c r="L194" s="4">
        <v>0</v>
      </c>
      <c r="M194" s="4">
        <v>0</v>
      </c>
      <c r="N194" s="8">
        <f>IFERROR(Table1[[#This Row],[3 pts]]/Table1[[#This Row],[3pt att]],0)</f>
        <v>0</v>
      </c>
      <c r="O194" s="4">
        <v>7</v>
      </c>
      <c r="P194" s="4">
        <v>2</v>
      </c>
      <c r="Q194" s="4">
        <v>3</v>
      </c>
      <c r="R194" s="4">
        <v>0</v>
      </c>
    </row>
    <row r="195" spans="1:18" x14ac:dyDescent="0.2">
      <c r="A195" s="1">
        <v>46135</v>
      </c>
      <c r="B195" s="6">
        <v>2</v>
      </c>
      <c r="C195" t="s">
        <v>9</v>
      </c>
      <c r="D195" t="s">
        <v>31</v>
      </c>
      <c r="F195" s="6"/>
      <c r="G195" s="4">
        <v>3</v>
      </c>
      <c r="H195" s="4">
        <v>7</v>
      </c>
      <c r="I195" s="4">
        <v>2</v>
      </c>
      <c r="J195" s="7">
        <f>IFERROR(Table1[[#This Row],[2pt FGM]]/Table1[[#This Row],[2pt FGatt]],0)</f>
        <v>0.2857142857142857</v>
      </c>
      <c r="K195" s="4">
        <v>7</v>
      </c>
      <c r="L195" s="4">
        <v>7</v>
      </c>
      <c r="M195" s="4">
        <v>1</v>
      </c>
      <c r="N195" s="8">
        <f>IFERROR(Table1[[#This Row],[3 pts]]/Table1[[#This Row],[3pt att]],0)</f>
        <v>0.14285714285714285</v>
      </c>
      <c r="O195" s="4">
        <v>4</v>
      </c>
      <c r="P195" s="4">
        <v>3</v>
      </c>
      <c r="Q195" s="4">
        <v>4</v>
      </c>
      <c r="R195" s="4">
        <v>1</v>
      </c>
    </row>
    <row r="196" spans="1:18" x14ac:dyDescent="0.2">
      <c r="A196" s="1">
        <v>46135</v>
      </c>
      <c r="B196" s="6">
        <v>2</v>
      </c>
      <c r="C196" t="s">
        <v>19</v>
      </c>
      <c r="D196" t="s">
        <v>31</v>
      </c>
      <c r="F196" s="6"/>
      <c r="G196" s="4">
        <v>3</v>
      </c>
      <c r="H196" s="4">
        <v>12</v>
      </c>
      <c r="I196" s="4">
        <v>6</v>
      </c>
      <c r="J196" s="7">
        <f>IFERROR(Table1[[#This Row],[2pt FGM]]/Table1[[#This Row],[2pt FGatt]],0)</f>
        <v>0.5</v>
      </c>
      <c r="K196" s="4">
        <v>15</v>
      </c>
      <c r="L196" s="4">
        <v>9</v>
      </c>
      <c r="M196" s="4">
        <v>1</v>
      </c>
      <c r="N196" s="8">
        <f>IFERROR(Table1[[#This Row],[3 pts]]/Table1[[#This Row],[3pt att]],0)</f>
        <v>0.1111111111111111</v>
      </c>
      <c r="O196" s="4">
        <v>7</v>
      </c>
      <c r="P196" s="4">
        <v>6</v>
      </c>
      <c r="Q196" s="4">
        <v>2</v>
      </c>
      <c r="R196" s="4">
        <v>0</v>
      </c>
    </row>
    <row r="197" spans="1:18" x14ac:dyDescent="0.2">
      <c r="A197" s="1">
        <v>46149</v>
      </c>
      <c r="B197" s="6">
        <v>2</v>
      </c>
      <c r="C197" t="s">
        <v>7</v>
      </c>
      <c r="D197" t="s">
        <v>27</v>
      </c>
      <c r="F197" s="6"/>
      <c r="G197" s="4">
        <v>1</v>
      </c>
      <c r="H197" s="4">
        <v>5</v>
      </c>
      <c r="I197" s="4">
        <v>4</v>
      </c>
      <c r="J197" s="7">
        <f>IFERROR(Table1[[#This Row],[2pt FGM]]/Table1[[#This Row],[2pt FGatt]],0)</f>
        <v>0.8</v>
      </c>
      <c r="K197" s="4">
        <v>11</v>
      </c>
      <c r="L197" s="4">
        <v>2</v>
      </c>
      <c r="M197" s="4">
        <v>1</v>
      </c>
      <c r="N197" s="8">
        <f>IFERROR(Table1[[#This Row],[3 pts]]/Table1[[#This Row],[3pt att]],0)</f>
        <v>0.5</v>
      </c>
      <c r="O197" s="4">
        <v>10</v>
      </c>
      <c r="P197" s="4">
        <v>8</v>
      </c>
      <c r="Q197" s="4">
        <v>4</v>
      </c>
      <c r="R197" s="4">
        <v>0</v>
      </c>
    </row>
    <row r="198" spans="1:18" x14ac:dyDescent="0.2">
      <c r="A198" s="1">
        <v>46149</v>
      </c>
      <c r="B198" s="6">
        <v>2</v>
      </c>
      <c r="C198" t="s">
        <v>16</v>
      </c>
      <c r="D198" t="s">
        <v>27</v>
      </c>
      <c r="F198" s="6"/>
      <c r="G198" s="4">
        <v>1</v>
      </c>
      <c r="H198" s="4">
        <v>8</v>
      </c>
      <c r="I198" s="4">
        <v>4</v>
      </c>
      <c r="J198" s="7">
        <f>IFERROR(Table1[[#This Row],[2pt FGM]]/Table1[[#This Row],[2pt FGatt]],0)</f>
        <v>0.5</v>
      </c>
      <c r="K198" s="4">
        <v>8</v>
      </c>
      <c r="L198" s="4">
        <v>3</v>
      </c>
      <c r="M198" s="4">
        <v>0</v>
      </c>
      <c r="N198" s="8">
        <f>IFERROR(Table1[[#This Row],[3 pts]]/Table1[[#This Row],[3pt att]],0)</f>
        <v>0</v>
      </c>
      <c r="O198" s="4">
        <v>14</v>
      </c>
      <c r="P198" s="4">
        <v>1</v>
      </c>
      <c r="Q198" s="4">
        <v>2</v>
      </c>
      <c r="R198" s="4">
        <v>0</v>
      </c>
    </row>
    <row r="199" spans="1:18" x14ac:dyDescent="0.2">
      <c r="A199" s="1">
        <v>46149</v>
      </c>
      <c r="B199" s="6">
        <v>2</v>
      </c>
      <c r="C199" t="s">
        <v>17</v>
      </c>
      <c r="D199" t="s">
        <v>27</v>
      </c>
      <c r="F199" s="6"/>
      <c r="G199" s="4">
        <v>1</v>
      </c>
      <c r="H199" s="4">
        <v>4</v>
      </c>
      <c r="I199" s="4">
        <v>0</v>
      </c>
      <c r="J199" s="7">
        <f>IFERROR(Table1[[#This Row],[2pt FGM]]/Table1[[#This Row],[2pt FGatt]],0)</f>
        <v>0</v>
      </c>
      <c r="K199" s="4">
        <v>6</v>
      </c>
      <c r="L199" s="4">
        <v>5</v>
      </c>
      <c r="M199" s="4">
        <v>2</v>
      </c>
      <c r="N199" s="8">
        <f>IFERROR(Table1[[#This Row],[3 pts]]/Table1[[#This Row],[3pt att]],0)</f>
        <v>0.4</v>
      </c>
      <c r="O199" s="4">
        <v>1</v>
      </c>
      <c r="P199" s="4">
        <v>2</v>
      </c>
      <c r="Q199" s="4">
        <v>0</v>
      </c>
      <c r="R199" s="4">
        <v>1</v>
      </c>
    </row>
    <row r="200" spans="1:18" x14ac:dyDescent="0.2">
      <c r="A200" s="1">
        <v>46149</v>
      </c>
      <c r="B200" s="6">
        <v>2</v>
      </c>
      <c r="C200" t="s">
        <v>18</v>
      </c>
      <c r="D200" t="s">
        <v>27</v>
      </c>
      <c r="F200" s="6"/>
      <c r="G200" s="4">
        <v>1</v>
      </c>
      <c r="H200" s="4">
        <v>2</v>
      </c>
      <c r="I200" s="4">
        <v>0</v>
      </c>
      <c r="J200" s="7">
        <f>IFERROR(Table1[[#This Row],[2pt FGM]]/Table1[[#This Row],[2pt FGatt]],0)</f>
        <v>0</v>
      </c>
      <c r="K200" s="4">
        <v>3</v>
      </c>
      <c r="L200" s="4">
        <v>8</v>
      </c>
      <c r="M200" s="4">
        <v>1</v>
      </c>
      <c r="N200" s="8">
        <f>IFERROR(Table1[[#This Row],[3 pts]]/Table1[[#This Row],[3pt att]],0)</f>
        <v>0.125</v>
      </c>
      <c r="O200" s="4">
        <v>1</v>
      </c>
      <c r="P200" s="4">
        <v>0</v>
      </c>
      <c r="Q200" s="4">
        <v>2</v>
      </c>
      <c r="R200" s="4">
        <v>0</v>
      </c>
    </row>
    <row r="201" spans="1:18" x14ac:dyDescent="0.2">
      <c r="A201" s="1">
        <v>46149</v>
      </c>
      <c r="B201" s="6">
        <v>2</v>
      </c>
      <c r="C201" t="s">
        <v>11</v>
      </c>
      <c r="D201" t="s">
        <v>31</v>
      </c>
      <c r="F201" s="6"/>
      <c r="G201" s="4">
        <v>1</v>
      </c>
      <c r="H201" s="4">
        <v>7</v>
      </c>
      <c r="I201" s="4">
        <v>3</v>
      </c>
      <c r="J201" s="7">
        <f>IFERROR(Table1[[#This Row],[2pt FGM]]/Table1[[#This Row],[2pt FGatt]],0)</f>
        <v>0.42857142857142855</v>
      </c>
      <c r="K201" s="4">
        <v>6</v>
      </c>
      <c r="L201" s="4">
        <v>0</v>
      </c>
      <c r="M201" s="4">
        <v>0</v>
      </c>
      <c r="N201" s="8">
        <f>IFERROR(Table1[[#This Row],[3 pts]]/Table1[[#This Row],[3pt att]],0)</f>
        <v>0</v>
      </c>
      <c r="O201" s="4">
        <v>6</v>
      </c>
      <c r="P201" s="4">
        <v>3</v>
      </c>
      <c r="Q201" s="4">
        <v>0</v>
      </c>
      <c r="R201" s="4">
        <v>0</v>
      </c>
    </row>
    <row r="202" spans="1:18" x14ac:dyDescent="0.2">
      <c r="A202" s="1">
        <v>46149</v>
      </c>
      <c r="B202" s="6">
        <v>2</v>
      </c>
      <c r="C202" t="s">
        <v>20</v>
      </c>
      <c r="D202" t="s">
        <v>31</v>
      </c>
      <c r="F202" s="6"/>
      <c r="G202" s="4">
        <v>1</v>
      </c>
      <c r="H202" s="4">
        <v>7</v>
      </c>
      <c r="I202" s="4">
        <v>2</v>
      </c>
      <c r="J202" s="7">
        <f>IFERROR(Table1[[#This Row],[2pt FGM]]/Table1[[#This Row],[2pt FGatt]],0)</f>
        <v>0.2857142857142857</v>
      </c>
      <c r="K202" s="4">
        <v>4</v>
      </c>
      <c r="L202" s="4">
        <v>0</v>
      </c>
      <c r="M202" s="4">
        <v>0</v>
      </c>
      <c r="N202" s="8">
        <f>IFERROR(Table1[[#This Row],[3 pts]]/Table1[[#This Row],[3pt att]],0)</f>
        <v>0</v>
      </c>
      <c r="O202" s="4">
        <v>6</v>
      </c>
      <c r="P202" s="4">
        <v>2</v>
      </c>
      <c r="Q202" s="4">
        <v>0</v>
      </c>
      <c r="R202" s="4">
        <v>0</v>
      </c>
    </row>
    <row r="203" spans="1:18" x14ac:dyDescent="0.2">
      <c r="A203" s="1">
        <v>46149</v>
      </c>
      <c r="B203" s="6">
        <v>2</v>
      </c>
      <c r="C203" t="s">
        <v>9</v>
      </c>
      <c r="D203" t="s">
        <v>31</v>
      </c>
      <c r="F203" s="6"/>
      <c r="G203" s="4">
        <v>1</v>
      </c>
      <c r="H203" s="4">
        <v>7</v>
      </c>
      <c r="I203" s="4">
        <v>2</v>
      </c>
      <c r="J203" s="7">
        <f>IFERROR(Table1[[#This Row],[2pt FGM]]/Table1[[#This Row],[2pt FGatt]],0)</f>
        <v>0.2857142857142857</v>
      </c>
      <c r="K203" s="4">
        <v>7</v>
      </c>
      <c r="L203" s="4">
        <v>8</v>
      </c>
      <c r="M203" s="4">
        <v>1</v>
      </c>
      <c r="N203" s="8">
        <f>IFERROR(Table1[[#This Row],[3 pts]]/Table1[[#This Row],[3pt att]],0)</f>
        <v>0.125</v>
      </c>
      <c r="O203" s="4">
        <v>7</v>
      </c>
      <c r="P203" s="4">
        <v>3</v>
      </c>
      <c r="Q203" s="4">
        <v>2</v>
      </c>
      <c r="R203" s="4">
        <v>1</v>
      </c>
    </row>
    <row r="204" spans="1:18" x14ac:dyDescent="0.2">
      <c r="A204" s="1">
        <v>46149</v>
      </c>
      <c r="B204" s="6">
        <v>2</v>
      </c>
      <c r="C204" t="s">
        <v>19</v>
      </c>
      <c r="D204" t="s">
        <v>31</v>
      </c>
      <c r="F204" s="6"/>
      <c r="G204" s="4">
        <v>1</v>
      </c>
      <c r="H204" s="4">
        <v>6</v>
      </c>
      <c r="I204" s="4">
        <v>1</v>
      </c>
      <c r="J204" s="7">
        <f>IFERROR(Table1[[#This Row],[2pt FGM]]/Table1[[#This Row],[2pt FGatt]],0)</f>
        <v>0.16666666666666666</v>
      </c>
      <c r="K204" s="4">
        <v>5</v>
      </c>
      <c r="L204" s="4">
        <v>6</v>
      </c>
      <c r="M204" s="4">
        <v>1</v>
      </c>
      <c r="N204" s="8">
        <f>IFERROR(Table1[[#This Row],[3 pts]]/Table1[[#This Row],[3pt att]],0)</f>
        <v>0.16666666666666666</v>
      </c>
      <c r="O204" s="4">
        <v>12</v>
      </c>
      <c r="P204" s="4">
        <v>2</v>
      </c>
      <c r="Q204" s="4">
        <v>5</v>
      </c>
      <c r="R204" s="4">
        <v>0</v>
      </c>
    </row>
    <row r="205" spans="1:18" x14ac:dyDescent="0.2">
      <c r="A205" s="1">
        <v>46149</v>
      </c>
      <c r="B205" s="6">
        <v>2</v>
      </c>
      <c r="C205" t="s">
        <v>7</v>
      </c>
      <c r="D205" t="s">
        <v>27</v>
      </c>
      <c r="F205" s="6"/>
      <c r="G205" s="4">
        <v>2</v>
      </c>
      <c r="H205" s="4">
        <v>2</v>
      </c>
      <c r="I205" s="4">
        <v>1</v>
      </c>
      <c r="J205" s="7">
        <f>IFERROR(Table1[[#This Row],[2pt FGM]]/Table1[[#This Row],[2pt FGatt]],0)</f>
        <v>0.5</v>
      </c>
      <c r="K205" s="4">
        <v>2</v>
      </c>
      <c r="L205" s="4">
        <v>1</v>
      </c>
      <c r="M205" s="4">
        <v>0</v>
      </c>
      <c r="N205" s="8">
        <f>IFERROR(Table1[[#This Row],[3 pts]]/Table1[[#This Row],[3pt att]],0)</f>
        <v>0</v>
      </c>
      <c r="O205" s="4">
        <v>5</v>
      </c>
      <c r="P205" s="4">
        <v>4</v>
      </c>
      <c r="Q205" s="4">
        <v>3</v>
      </c>
      <c r="R205" s="4">
        <v>0</v>
      </c>
    </row>
    <row r="206" spans="1:18" x14ac:dyDescent="0.2">
      <c r="A206" s="1">
        <v>46149</v>
      </c>
      <c r="B206" s="6">
        <v>2</v>
      </c>
      <c r="C206" t="s">
        <v>16</v>
      </c>
      <c r="D206" t="s">
        <v>27</v>
      </c>
      <c r="F206" s="6"/>
      <c r="G206" s="4">
        <v>2</v>
      </c>
      <c r="H206" s="4">
        <v>6</v>
      </c>
      <c r="I206" s="4">
        <v>2</v>
      </c>
      <c r="J206" s="7">
        <f>IFERROR(Table1[[#This Row],[2pt FGM]]/Table1[[#This Row],[2pt FGatt]],0)</f>
        <v>0.33333333333333331</v>
      </c>
      <c r="K206" s="4">
        <v>4</v>
      </c>
      <c r="L206" s="4">
        <v>2</v>
      </c>
      <c r="M206" s="4">
        <v>0</v>
      </c>
      <c r="N206" s="8">
        <f>IFERROR(Table1[[#This Row],[3 pts]]/Table1[[#This Row],[3pt att]],0)</f>
        <v>0</v>
      </c>
      <c r="O206" s="4">
        <v>6</v>
      </c>
      <c r="P206" s="4">
        <v>0</v>
      </c>
      <c r="Q206" s="4">
        <v>2</v>
      </c>
      <c r="R206" s="4">
        <v>1</v>
      </c>
    </row>
    <row r="207" spans="1:18" x14ac:dyDescent="0.2">
      <c r="A207" s="1">
        <v>46149</v>
      </c>
      <c r="B207" s="6">
        <v>2</v>
      </c>
      <c r="C207" t="s">
        <v>17</v>
      </c>
      <c r="D207" t="s">
        <v>27</v>
      </c>
      <c r="F207" s="6"/>
      <c r="G207" s="4">
        <v>2</v>
      </c>
      <c r="H207" s="4">
        <v>2</v>
      </c>
      <c r="I207" s="4">
        <v>0</v>
      </c>
      <c r="J207" s="7">
        <f>IFERROR(Table1[[#This Row],[2pt FGM]]/Table1[[#This Row],[2pt FGatt]],0)</f>
        <v>0</v>
      </c>
      <c r="K207" s="4">
        <v>6</v>
      </c>
      <c r="L207" s="4">
        <v>4</v>
      </c>
      <c r="M207" s="4">
        <v>2</v>
      </c>
      <c r="N207" s="8">
        <f>IFERROR(Table1[[#This Row],[3 pts]]/Table1[[#This Row],[3pt att]],0)</f>
        <v>0.5</v>
      </c>
      <c r="O207" s="4">
        <v>2</v>
      </c>
      <c r="P207" s="4">
        <v>0</v>
      </c>
      <c r="Q207" s="4">
        <v>0</v>
      </c>
      <c r="R207" s="4">
        <v>0</v>
      </c>
    </row>
    <row r="208" spans="1:18" x14ac:dyDescent="0.2">
      <c r="A208" s="1">
        <v>46149</v>
      </c>
      <c r="B208" s="6">
        <v>2</v>
      </c>
      <c r="C208" t="s">
        <v>18</v>
      </c>
      <c r="D208" t="s">
        <v>27</v>
      </c>
      <c r="F208" s="6"/>
      <c r="G208" s="4">
        <v>2</v>
      </c>
      <c r="H208" s="4">
        <v>1</v>
      </c>
      <c r="I208" s="4">
        <v>0</v>
      </c>
      <c r="J208" s="7">
        <f>IFERROR(Table1[[#This Row],[2pt FGM]]/Table1[[#This Row],[2pt FGatt]],0)</f>
        <v>0</v>
      </c>
      <c r="K208" s="4">
        <v>6</v>
      </c>
      <c r="L208" s="4">
        <v>12</v>
      </c>
      <c r="M208" s="4">
        <v>2</v>
      </c>
      <c r="N208" s="8">
        <f>IFERROR(Table1[[#This Row],[3 pts]]/Table1[[#This Row],[3pt att]],0)</f>
        <v>0.16666666666666666</v>
      </c>
      <c r="O208" s="4">
        <v>2</v>
      </c>
      <c r="P208" s="4">
        <v>1</v>
      </c>
      <c r="Q208" s="4">
        <v>1</v>
      </c>
      <c r="R208" s="4">
        <v>0</v>
      </c>
    </row>
    <row r="209" spans="1:18" x14ac:dyDescent="0.2">
      <c r="A209" s="1">
        <v>46149</v>
      </c>
      <c r="B209" s="6">
        <v>2</v>
      </c>
      <c r="C209" t="s">
        <v>11</v>
      </c>
      <c r="D209" t="s">
        <v>31</v>
      </c>
      <c r="F209" s="6"/>
      <c r="G209" s="4">
        <v>2</v>
      </c>
      <c r="H209" s="4">
        <v>13</v>
      </c>
      <c r="I209" s="4">
        <v>5</v>
      </c>
      <c r="J209" s="7">
        <f>IFERROR(Table1[[#This Row],[2pt FGM]]/Table1[[#This Row],[2pt FGatt]],0)</f>
        <v>0.38461538461538464</v>
      </c>
      <c r="K209" s="4">
        <v>13</v>
      </c>
      <c r="L209" s="4">
        <v>2</v>
      </c>
      <c r="M209" s="4">
        <v>1</v>
      </c>
      <c r="N209" s="8">
        <f>IFERROR(Table1[[#This Row],[3 pts]]/Table1[[#This Row],[3pt att]],0)</f>
        <v>0.5</v>
      </c>
      <c r="O209" s="4">
        <v>5</v>
      </c>
      <c r="P209" s="4">
        <v>0</v>
      </c>
      <c r="Q209" s="4">
        <v>1</v>
      </c>
      <c r="R209" s="4">
        <v>0</v>
      </c>
    </row>
    <row r="210" spans="1:18" x14ac:dyDescent="0.2">
      <c r="A210" s="1">
        <v>46149</v>
      </c>
      <c r="B210" s="6">
        <v>2</v>
      </c>
      <c r="C210" t="s">
        <v>20</v>
      </c>
      <c r="D210" t="s">
        <v>31</v>
      </c>
      <c r="F210" s="6"/>
      <c r="G210" s="4">
        <v>2</v>
      </c>
      <c r="H210" s="4">
        <v>3</v>
      </c>
      <c r="I210" s="4">
        <v>1</v>
      </c>
      <c r="J210" s="7">
        <f>IFERROR(Table1[[#This Row],[2pt FGM]]/Table1[[#This Row],[2pt FGatt]],0)</f>
        <v>0.33333333333333331</v>
      </c>
      <c r="K210" s="4">
        <v>2</v>
      </c>
      <c r="L210" s="4">
        <v>0</v>
      </c>
      <c r="M210" s="4">
        <v>0</v>
      </c>
      <c r="N210" s="8">
        <f>IFERROR(Table1[[#This Row],[3 pts]]/Table1[[#This Row],[3pt att]],0)</f>
        <v>0</v>
      </c>
      <c r="O210" s="4">
        <v>6</v>
      </c>
      <c r="P210" s="4">
        <v>1</v>
      </c>
      <c r="Q210" s="4">
        <v>3</v>
      </c>
      <c r="R210" s="4">
        <v>0</v>
      </c>
    </row>
    <row r="211" spans="1:18" x14ac:dyDescent="0.2">
      <c r="A211" s="1">
        <v>46149</v>
      </c>
      <c r="B211" s="6">
        <v>2</v>
      </c>
      <c r="C211" t="s">
        <v>9</v>
      </c>
      <c r="D211" t="s">
        <v>31</v>
      </c>
      <c r="F211" s="6"/>
      <c r="G211" s="4">
        <v>2</v>
      </c>
      <c r="H211" s="4">
        <v>5</v>
      </c>
      <c r="I211" s="4">
        <v>3</v>
      </c>
      <c r="J211" s="7">
        <f>IFERROR(Table1[[#This Row],[2pt FGM]]/Table1[[#This Row],[2pt FGatt]],0)</f>
        <v>0.6</v>
      </c>
      <c r="K211" s="4">
        <v>12</v>
      </c>
      <c r="L211" s="4">
        <v>4</v>
      </c>
      <c r="M211" s="4">
        <v>2</v>
      </c>
      <c r="N211" s="8">
        <f>IFERROR(Table1[[#This Row],[3 pts]]/Table1[[#This Row],[3pt att]],0)</f>
        <v>0.5</v>
      </c>
      <c r="O211" s="4">
        <v>3</v>
      </c>
      <c r="P211" s="4">
        <v>4</v>
      </c>
      <c r="Q211" s="4">
        <v>4</v>
      </c>
      <c r="R211" s="4">
        <v>2</v>
      </c>
    </row>
    <row r="212" spans="1:18" x14ac:dyDescent="0.2">
      <c r="A212" s="1">
        <v>46149</v>
      </c>
      <c r="B212" s="6">
        <v>2</v>
      </c>
      <c r="C212" t="s">
        <v>19</v>
      </c>
      <c r="D212" t="s">
        <v>31</v>
      </c>
      <c r="F212" s="6"/>
      <c r="G212" s="4">
        <v>2</v>
      </c>
      <c r="H212" s="4">
        <v>5</v>
      </c>
      <c r="I212" s="4">
        <v>2</v>
      </c>
      <c r="J212" s="7">
        <f>IFERROR(Table1[[#This Row],[2pt FGM]]/Table1[[#This Row],[2pt FGatt]],0)</f>
        <v>0.4</v>
      </c>
      <c r="K212" s="4">
        <v>4</v>
      </c>
      <c r="L212" s="4">
        <v>4</v>
      </c>
      <c r="M212" s="4">
        <v>0</v>
      </c>
      <c r="N212" s="8">
        <f>IFERROR(Table1[[#This Row],[3 pts]]/Table1[[#This Row],[3pt att]],0)</f>
        <v>0</v>
      </c>
      <c r="O212" s="4">
        <v>10</v>
      </c>
      <c r="P212" s="4">
        <v>0</v>
      </c>
      <c r="Q212" s="4">
        <v>2</v>
      </c>
      <c r="R212" s="4">
        <v>0</v>
      </c>
    </row>
    <row r="213" spans="1:18" x14ac:dyDescent="0.2">
      <c r="A213" s="1">
        <v>46149</v>
      </c>
      <c r="B213" s="6">
        <v>2</v>
      </c>
      <c r="C213" t="s">
        <v>7</v>
      </c>
      <c r="D213" t="s">
        <v>27</v>
      </c>
      <c r="F213" s="6"/>
      <c r="G213" s="4">
        <v>3</v>
      </c>
      <c r="H213" s="4">
        <v>3</v>
      </c>
      <c r="I213" s="4">
        <v>1</v>
      </c>
      <c r="J213" s="7">
        <f>IFERROR(Table1[[#This Row],[2pt FGM]]/Table1[[#This Row],[2pt FGatt]],0)</f>
        <v>0.33333333333333331</v>
      </c>
      <c r="K213" s="4">
        <v>2</v>
      </c>
      <c r="L213" s="4">
        <v>5</v>
      </c>
      <c r="M213" s="4">
        <v>0</v>
      </c>
      <c r="N213" s="8">
        <f>IFERROR(Table1[[#This Row],[3 pts]]/Table1[[#This Row],[3pt att]],0)</f>
        <v>0</v>
      </c>
      <c r="O213" s="4">
        <v>15</v>
      </c>
      <c r="P213" s="4">
        <v>5</v>
      </c>
      <c r="Q213" s="4">
        <v>2</v>
      </c>
      <c r="R213" s="4">
        <v>0</v>
      </c>
    </row>
    <row r="214" spans="1:18" x14ac:dyDescent="0.2">
      <c r="A214" s="1">
        <v>46149</v>
      </c>
      <c r="B214" s="6">
        <v>2</v>
      </c>
      <c r="C214" t="s">
        <v>16</v>
      </c>
      <c r="D214" t="s">
        <v>27</v>
      </c>
      <c r="F214" s="6"/>
      <c r="G214" s="4">
        <v>3</v>
      </c>
      <c r="H214" s="4">
        <v>9</v>
      </c>
      <c r="I214" s="4">
        <v>4</v>
      </c>
      <c r="J214" s="7">
        <f>IFERROR(Table1[[#This Row],[2pt FGM]]/Table1[[#This Row],[2pt FGatt]],0)</f>
        <v>0.44444444444444442</v>
      </c>
      <c r="K214" s="4">
        <v>8</v>
      </c>
      <c r="L214" s="4">
        <v>3</v>
      </c>
      <c r="M214" s="4">
        <v>0</v>
      </c>
      <c r="N214" s="8">
        <f>IFERROR(Table1[[#This Row],[3 pts]]/Table1[[#This Row],[3pt att]],0)</f>
        <v>0</v>
      </c>
      <c r="O214" s="4">
        <v>12</v>
      </c>
      <c r="P214" s="4">
        <v>1</v>
      </c>
      <c r="Q214" s="4">
        <v>2</v>
      </c>
      <c r="R214" s="4">
        <v>1</v>
      </c>
    </row>
    <row r="215" spans="1:18" x14ac:dyDescent="0.2">
      <c r="A215" s="1">
        <v>46149</v>
      </c>
      <c r="B215" s="6">
        <v>2</v>
      </c>
      <c r="C215" t="s">
        <v>17</v>
      </c>
      <c r="D215" t="s">
        <v>27</v>
      </c>
      <c r="F215" s="6"/>
      <c r="G215" s="4">
        <v>3</v>
      </c>
      <c r="H215" s="4">
        <v>0</v>
      </c>
      <c r="I215" s="4">
        <v>0</v>
      </c>
      <c r="J215" s="7">
        <f>IFERROR(Table1[[#This Row],[2pt FGM]]/Table1[[#This Row],[2pt FGatt]],0)</f>
        <v>0</v>
      </c>
      <c r="K215" s="4">
        <v>6</v>
      </c>
      <c r="L215" s="4">
        <v>10</v>
      </c>
      <c r="M215" s="4">
        <v>2</v>
      </c>
      <c r="N215" s="8">
        <f>IFERROR(Table1[[#This Row],[3 pts]]/Table1[[#This Row],[3pt att]],0)</f>
        <v>0.2</v>
      </c>
      <c r="O215" s="4">
        <v>2</v>
      </c>
      <c r="P215" s="4">
        <v>2</v>
      </c>
      <c r="Q215" s="4">
        <v>0</v>
      </c>
      <c r="R215" s="4">
        <v>0</v>
      </c>
    </row>
    <row r="216" spans="1:18" x14ac:dyDescent="0.2">
      <c r="A216" s="1">
        <v>46149</v>
      </c>
      <c r="B216" s="6">
        <v>2</v>
      </c>
      <c r="C216" t="s">
        <v>18</v>
      </c>
      <c r="D216" t="s">
        <v>27</v>
      </c>
      <c r="F216" s="6"/>
      <c r="G216" s="4">
        <v>3</v>
      </c>
      <c r="H216" s="4">
        <v>5</v>
      </c>
      <c r="I216" s="4">
        <v>2</v>
      </c>
      <c r="J216" s="7">
        <f>IFERROR(Table1[[#This Row],[2pt FGM]]/Table1[[#This Row],[2pt FGatt]],0)</f>
        <v>0.4</v>
      </c>
      <c r="K216" s="4">
        <v>4</v>
      </c>
      <c r="L216" s="4">
        <v>11</v>
      </c>
      <c r="M216" s="4">
        <v>0</v>
      </c>
      <c r="N216" s="8">
        <f>IFERROR(Table1[[#This Row],[3 pts]]/Table1[[#This Row],[3pt att]],0)</f>
        <v>0</v>
      </c>
      <c r="O216" s="4">
        <v>4</v>
      </c>
      <c r="P216" s="4">
        <v>2</v>
      </c>
      <c r="Q216" s="4">
        <v>1</v>
      </c>
      <c r="R216" s="4">
        <v>0</v>
      </c>
    </row>
    <row r="217" spans="1:18" x14ac:dyDescent="0.2">
      <c r="A217" s="1">
        <v>46149</v>
      </c>
      <c r="B217" s="6">
        <v>2</v>
      </c>
      <c r="C217" t="s">
        <v>11</v>
      </c>
      <c r="D217" t="s">
        <v>31</v>
      </c>
      <c r="F217" s="6"/>
      <c r="G217" s="4">
        <v>3</v>
      </c>
      <c r="H217" s="4">
        <v>4</v>
      </c>
      <c r="I217" s="4">
        <v>1</v>
      </c>
      <c r="J217" s="7">
        <f>IFERROR(Table1[[#This Row],[2pt FGM]]/Table1[[#This Row],[2pt FGatt]],0)</f>
        <v>0.25</v>
      </c>
      <c r="K217" s="4">
        <v>2</v>
      </c>
      <c r="L217" s="4">
        <v>3</v>
      </c>
      <c r="M217" s="4">
        <v>0</v>
      </c>
      <c r="N217" s="8">
        <f>IFERROR(Table1[[#This Row],[3 pts]]/Table1[[#This Row],[3pt att]],0)</f>
        <v>0</v>
      </c>
      <c r="O217" s="4">
        <v>5</v>
      </c>
      <c r="P217" s="4">
        <v>3</v>
      </c>
      <c r="Q217" s="4">
        <v>1</v>
      </c>
      <c r="R217" s="4">
        <v>0</v>
      </c>
    </row>
    <row r="218" spans="1:18" x14ac:dyDescent="0.2">
      <c r="A218" s="1">
        <v>46149</v>
      </c>
      <c r="B218" s="6">
        <v>2</v>
      </c>
      <c r="C218" t="s">
        <v>20</v>
      </c>
      <c r="D218" t="s">
        <v>31</v>
      </c>
      <c r="F218" s="6"/>
      <c r="G218" s="4">
        <v>3</v>
      </c>
      <c r="H218" s="4">
        <v>3</v>
      </c>
      <c r="I218" s="4">
        <v>2</v>
      </c>
      <c r="J218" s="7">
        <f>IFERROR(Table1[[#This Row],[2pt FGM]]/Table1[[#This Row],[2pt FGatt]],0)</f>
        <v>0.66666666666666663</v>
      </c>
      <c r="K218" s="4">
        <v>4</v>
      </c>
      <c r="L218" s="4">
        <v>0</v>
      </c>
      <c r="M218" s="4">
        <v>0</v>
      </c>
      <c r="N218" s="8">
        <f>IFERROR(Table1[[#This Row],[3 pts]]/Table1[[#This Row],[3pt att]],0)</f>
        <v>0</v>
      </c>
      <c r="O218" s="4">
        <v>6</v>
      </c>
      <c r="P218" s="4">
        <v>1</v>
      </c>
      <c r="Q218" s="4">
        <v>0</v>
      </c>
      <c r="R218" s="4">
        <v>0</v>
      </c>
    </row>
    <row r="219" spans="1:18" x14ac:dyDescent="0.2">
      <c r="A219" s="1">
        <v>46149</v>
      </c>
      <c r="B219" s="6">
        <v>2</v>
      </c>
      <c r="C219" t="s">
        <v>9</v>
      </c>
      <c r="D219" t="s">
        <v>31</v>
      </c>
      <c r="F219" s="6"/>
      <c r="G219" s="4">
        <v>3</v>
      </c>
      <c r="H219" s="4">
        <v>3</v>
      </c>
      <c r="I219" s="4">
        <v>1</v>
      </c>
      <c r="J219" s="7">
        <f>IFERROR(Table1[[#This Row],[2pt FGM]]/Table1[[#This Row],[2pt FGatt]],0)</f>
        <v>0.33333333333333331</v>
      </c>
      <c r="K219" s="4">
        <v>14</v>
      </c>
      <c r="L219" s="4">
        <v>9</v>
      </c>
      <c r="M219" s="4">
        <v>4</v>
      </c>
      <c r="N219" s="8">
        <f>IFERROR(Table1[[#This Row],[3 pts]]/Table1[[#This Row],[3pt att]],0)</f>
        <v>0.44444444444444442</v>
      </c>
      <c r="O219" s="4">
        <v>5</v>
      </c>
      <c r="P219" s="4">
        <v>3</v>
      </c>
      <c r="Q219" s="4">
        <v>4</v>
      </c>
      <c r="R219" s="4">
        <v>2</v>
      </c>
    </row>
    <row r="220" spans="1:18" x14ac:dyDescent="0.2">
      <c r="A220" s="1">
        <v>46149</v>
      </c>
      <c r="B220" s="6">
        <v>2</v>
      </c>
      <c r="C220" t="s">
        <v>19</v>
      </c>
      <c r="D220" t="s">
        <v>31</v>
      </c>
      <c r="F220" s="6"/>
      <c r="G220" s="4">
        <v>3</v>
      </c>
      <c r="H220" s="4">
        <v>9</v>
      </c>
      <c r="I220" s="4">
        <v>2</v>
      </c>
      <c r="J220" s="7">
        <f>IFERROR(Table1[[#This Row],[2pt FGM]]/Table1[[#This Row],[2pt FGatt]],0)</f>
        <v>0.22222222222222221</v>
      </c>
      <c r="K220" s="4">
        <v>4</v>
      </c>
      <c r="L220" s="4">
        <v>5</v>
      </c>
      <c r="M220" s="4">
        <v>0</v>
      </c>
      <c r="N220" s="8">
        <f>IFERROR(Table1[[#This Row],[3 pts]]/Table1[[#This Row],[3pt att]],0)</f>
        <v>0</v>
      </c>
      <c r="O220" s="4">
        <v>7</v>
      </c>
      <c r="P220" s="4">
        <v>3</v>
      </c>
      <c r="Q220" s="4">
        <v>3</v>
      </c>
      <c r="R220" s="4">
        <v>0</v>
      </c>
    </row>
    <row r="221" spans="1:18" x14ac:dyDescent="0.2">
      <c r="A221" s="1">
        <v>46156</v>
      </c>
      <c r="B221" s="6">
        <v>2</v>
      </c>
      <c r="C221" t="s">
        <v>7</v>
      </c>
      <c r="D221" t="s">
        <v>27</v>
      </c>
      <c r="F221" s="6"/>
      <c r="G221" s="4">
        <v>1</v>
      </c>
      <c r="H221" s="4">
        <v>9</v>
      </c>
      <c r="I221" s="4">
        <v>1</v>
      </c>
      <c r="J221" s="7">
        <f>IFERROR(Table1[[#This Row],[2pt FGM]]/Table1[[#This Row],[2pt FGatt]],0)</f>
        <v>0.1111111111111111</v>
      </c>
      <c r="K221" s="4">
        <v>2</v>
      </c>
      <c r="L221" s="4">
        <v>1</v>
      </c>
      <c r="M221" s="4">
        <v>0</v>
      </c>
      <c r="N221" s="8">
        <f>IFERROR(Table1[[#This Row],[3 pts]]/Table1[[#This Row],[3pt att]],0)</f>
        <v>0</v>
      </c>
      <c r="O221" s="4">
        <v>13</v>
      </c>
      <c r="P221" s="4">
        <v>7</v>
      </c>
      <c r="Q221" s="4">
        <v>3</v>
      </c>
      <c r="R221" s="4">
        <v>0</v>
      </c>
    </row>
    <row r="222" spans="1:18" x14ac:dyDescent="0.2">
      <c r="A222" s="1">
        <v>46156</v>
      </c>
      <c r="B222" s="6">
        <v>2</v>
      </c>
      <c r="C222" t="s">
        <v>16</v>
      </c>
      <c r="D222" t="s">
        <v>27</v>
      </c>
      <c r="F222" s="6"/>
      <c r="G222" s="4">
        <v>1</v>
      </c>
      <c r="H222" s="4">
        <v>5</v>
      </c>
      <c r="I222" s="4">
        <v>3</v>
      </c>
      <c r="J222" s="7">
        <f>IFERROR(Table1[[#This Row],[2pt FGM]]/Table1[[#This Row],[2pt FGatt]],0)</f>
        <v>0.6</v>
      </c>
      <c r="K222" s="4">
        <v>6</v>
      </c>
      <c r="L222" s="4">
        <v>1</v>
      </c>
      <c r="M222" s="4">
        <v>0</v>
      </c>
      <c r="N222" s="8">
        <f>IFERROR(Table1[[#This Row],[3 pts]]/Table1[[#This Row],[3pt att]],0)</f>
        <v>0</v>
      </c>
      <c r="O222" s="4">
        <v>10</v>
      </c>
      <c r="P222" s="4">
        <v>3</v>
      </c>
      <c r="Q222" s="4">
        <v>1</v>
      </c>
      <c r="R222" s="4">
        <v>0</v>
      </c>
    </row>
    <row r="223" spans="1:18" x14ac:dyDescent="0.2">
      <c r="A223" s="1">
        <v>46156</v>
      </c>
      <c r="B223" s="6">
        <v>2</v>
      </c>
      <c r="C223" t="s">
        <v>17</v>
      </c>
      <c r="D223" t="s">
        <v>27</v>
      </c>
      <c r="F223" s="6"/>
      <c r="G223" s="4">
        <v>1</v>
      </c>
      <c r="H223" s="4">
        <v>1</v>
      </c>
      <c r="I223" s="4">
        <v>0</v>
      </c>
      <c r="J223" s="7">
        <f>IFERROR(Table1[[#This Row],[2pt FGM]]/Table1[[#This Row],[2pt FGatt]],0)</f>
        <v>0</v>
      </c>
      <c r="K223" s="4">
        <v>9</v>
      </c>
      <c r="L223" s="4">
        <v>10</v>
      </c>
      <c r="M223" s="4">
        <v>3</v>
      </c>
      <c r="N223" s="8">
        <f>IFERROR(Table1[[#This Row],[3 pts]]/Table1[[#This Row],[3pt att]],0)</f>
        <v>0.3</v>
      </c>
      <c r="O223" s="4">
        <v>5</v>
      </c>
      <c r="P223" s="4">
        <v>5</v>
      </c>
      <c r="Q223" s="4">
        <v>0</v>
      </c>
      <c r="R223" s="4">
        <v>0</v>
      </c>
    </row>
    <row r="224" spans="1:18" x14ac:dyDescent="0.2">
      <c r="A224" s="1">
        <v>46156</v>
      </c>
      <c r="B224" s="6">
        <v>2</v>
      </c>
      <c r="C224" t="s">
        <v>18</v>
      </c>
      <c r="D224" t="s">
        <v>27</v>
      </c>
      <c r="F224" s="6"/>
      <c r="G224" s="4">
        <v>1</v>
      </c>
      <c r="H224" s="4">
        <v>4</v>
      </c>
      <c r="I224" s="4">
        <v>0</v>
      </c>
      <c r="J224" s="7">
        <f>IFERROR(Table1[[#This Row],[2pt FGM]]/Table1[[#This Row],[2pt FGatt]],0)</f>
        <v>0</v>
      </c>
      <c r="K224" s="4">
        <v>9</v>
      </c>
      <c r="L224" s="4">
        <v>11</v>
      </c>
      <c r="M224" s="4">
        <v>3</v>
      </c>
      <c r="N224" s="8">
        <f>IFERROR(Table1[[#This Row],[3 pts]]/Table1[[#This Row],[3pt att]],0)</f>
        <v>0.27272727272727271</v>
      </c>
      <c r="O224" s="4">
        <v>0</v>
      </c>
      <c r="P224" s="4">
        <v>3</v>
      </c>
      <c r="Q224" s="4">
        <v>0</v>
      </c>
      <c r="R224" s="4">
        <v>0</v>
      </c>
    </row>
    <row r="225" spans="1:18" x14ac:dyDescent="0.2">
      <c r="A225" s="1">
        <v>46156</v>
      </c>
      <c r="B225" s="6">
        <v>2</v>
      </c>
      <c r="C225" t="s">
        <v>11</v>
      </c>
      <c r="D225" t="s">
        <v>31</v>
      </c>
      <c r="F225" s="6"/>
      <c r="G225" s="4">
        <v>1</v>
      </c>
      <c r="H225" s="4">
        <v>6</v>
      </c>
      <c r="I225" s="4">
        <v>0</v>
      </c>
      <c r="J225" s="7">
        <f>IFERROR(Table1[[#This Row],[2pt FGM]]/Table1[[#This Row],[2pt FGatt]],0)</f>
        <v>0</v>
      </c>
      <c r="K225" s="4">
        <v>0</v>
      </c>
      <c r="L225" s="4">
        <v>1</v>
      </c>
      <c r="M225" s="4">
        <v>0</v>
      </c>
      <c r="N225" s="8">
        <f>IFERROR(Table1[[#This Row],[3 pts]]/Table1[[#This Row],[3pt att]],0)</f>
        <v>0</v>
      </c>
      <c r="O225" s="4">
        <v>3</v>
      </c>
      <c r="P225" s="4">
        <v>3</v>
      </c>
      <c r="Q225" s="4">
        <v>2</v>
      </c>
      <c r="R225" s="4">
        <v>0</v>
      </c>
    </row>
    <row r="226" spans="1:18" x14ac:dyDescent="0.2">
      <c r="A226" s="1">
        <v>46156</v>
      </c>
      <c r="B226" s="6">
        <v>2</v>
      </c>
      <c r="C226" t="s">
        <v>20</v>
      </c>
      <c r="D226" t="s">
        <v>31</v>
      </c>
      <c r="F226" s="6"/>
      <c r="G226" s="4">
        <v>1</v>
      </c>
      <c r="H226" s="4">
        <v>4</v>
      </c>
      <c r="I226" s="4">
        <v>2</v>
      </c>
      <c r="J226" s="7">
        <f>IFERROR(Table1[[#This Row],[2pt FGM]]/Table1[[#This Row],[2pt FGatt]],0)</f>
        <v>0.5</v>
      </c>
      <c r="K226" s="4">
        <v>4</v>
      </c>
      <c r="L226" s="4">
        <v>0</v>
      </c>
      <c r="M226" s="4">
        <v>0</v>
      </c>
      <c r="N226" s="8">
        <f>IFERROR(Table1[[#This Row],[3 pts]]/Table1[[#This Row],[3pt att]],0)</f>
        <v>0</v>
      </c>
      <c r="O226" s="4">
        <v>4</v>
      </c>
      <c r="P226" s="4">
        <v>5</v>
      </c>
      <c r="Q226" s="4">
        <v>0</v>
      </c>
      <c r="R226" s="4">
        <v>0</v>
      </c>
    </row>
    <row r="227" spans="1:18" x14ac:dyDescent="0.2">
      <c r="A227" s="1">
        <v>46156</v>
      </c>
      <c r="B227" s="6">
        <v>2</v>
      </c>
      <c r="C227" t="s">
        <v>9</v>
      </c>
      <c r="D227" t="s">
        <v>31</v>
      </c>
      <c r="F227" s="6"/>
      <c r="G227" s="4">
        <v>1</v>
      </c>
      <c r="H227" s="4">
        <v>6</v>
      </c>
      <c r="I227" s="4">
        <v>2</v>
      </c>
      <c r="J227" s="7">
        <f>IFERROR(Table1[[#This Row],[2pt FGM]]/Table1[[#This Row],[2pt FGatt]],0)</f>
        <v>0.33333333333333331</v>
      </c>
      <c r="K227" s="4">
        <v>4</v>
      </c>
      <c r="L227" s="4">
        <v>2</v>
      </c>
      <c r="M227" s="4">
        <v>0</v>
      </c>
      <c r="N227" s="8">
        <f>IFERROR(Table1[[#This Row],[3 pts]]/Table1[[#This Row],[3pt att]],0)</f>
        <v>0</v>
      </c>
      <c r="O227" s="4">
        <v>7</v>
      </c>
      <c r="P227" s="4">
        <v>2</v>
      </c>
      <c r="Q227" s="4">
        <v>0</v>
      </c>
      <c r="R227" s="4">
        <v>3</v>
      </c>
    </row>
    <row r="228" spans="1:18" x14ac:dyDescent="0.2">
      <c r="A228" s="1">
        <v>46156</v>
      </c>
      <c r="B228" s="6">
        <v>2</v>
      </c>
      <c r="C228" t="s">
        <v>19</v>
      </c>
      <c r="D228" t="s">
        <v>31</v>
      </c>
      <c r="F228" s="6"/>
      <c r="G228" s="4">
        <v>1</v>
      </c>
      <c r="H228" s="4">
        <v>8</v>
      </c>
      <c r="I228" s="4">
        <v>1</v>
      </c>
      <c r="J228" s="7">
        <f>IFERROR(Table1[[#This Row],[2pt FGM]]/Table1[[#This Row],[2pt FGatt]],0)</f>
        <v>0.125</v>
      </c>
      <c r="K228" s="4">
        <v>2</v>
      </c>
      <c r="L228" s="4">
        <v>3</v>
      </c>
      <c r="M228" s="4">
        <v>0</v>
      </c>
      <c r="N228" s="8">
        <f>IFERROR(Table1[[#This Row],[3 pts]]/Table1[[#This Row],[3pt att]],0)</f>
        <v>0</v>
      </c>
      <c r="O228" s="4">
        <v>9</v>
      </c>
      <c r="P228" s="4">
        <v>1</v>
      </c>
      <c r="Q228" s="4">
        <v>1</v>
      </c>
      <c r="R228" s="4">
        <v>1</v>
      </c>
    </row>
    <row r="229" spans="1:18" x14ac:dyDescent="0.2">
      <c r="A229" s="1">
        <v>46156</v>
      </c>
      <c r="B229" s="6">
        <v>2</v>
      </c>
      <c r="C229" t="s">
        <v>7</v>
      </c>
      <c r="D229" t="s">
        <v>27</v>
      </c>
      <c r="F229" s="6"/>
      <c r="G229" s="4">
        <v>2</v>
      </c>
      <c r="H229" s="4">
        <v>4</v>
      </c>
      <c r="I229" s="4">
        <v>4</v>
      </c>
      <c r="J229" s="7">
        <f>IFERROR(Table1[[#This Row],[2pt FGM]]/Table1[[#This Row],[2pt FGatt]],0)</f>
        <v>1</v>
      </c>
      <c r="K229" s="4">
        <v>8</v>
      </c>
      <c r="L229" s="4">
        <v>4</v>
      </c>
      <c r="M229" s="4">
        <v>0</v>
      </c>
      <c r="N229" s="8">
        <f>IFERROR(Table1[[#This Row],[3 pts]]/Table1[[#This Row],[3pt att]],0)</f>
        <v>0</v>
      </c>
      <c r="O229" s="4">
        <v>4</v>
      </c>
      <c r="P229" s="4">
        <v>3</v>
      </c>
      <c r="Q229" s="4">
        <v>2</v>
      </c>
      <c r="R229" s="4">
        <v>0</v>
      </c>
    </row>
    <row r="230" spans="1:18" x14ac:dyDescent="0.2">
      <c r="A230" s="1">
        <v>46156</v>
      </c>
      <c r="B230" s="6">
        <v>2</v>
      </c>
      <c r="C230" t="s">
        <v>16</v>
      </c>
      <c r="D230" t="s">
        <v>27</v>
      </c>
      <c r="F230" s="6"/>
      <c r="G230" s="4">
        <v>2</v>
      </c>
      <c r="H230" s="4">
        <v>5</v>
      </c>
      <c r="I230" s="4">
        <v>1</v>
      </c>
      <c r="J230" s="7">
        <f>IFERROR(Table1[[#This Row],[2pt FGM]]/Table1[[#This Row],[2pt FGatt]],0)</f>
        <v>0.2</v>
      </c>
      <c r="K230" s="4">
        <v>2</v>
      </c>
      <c r="L230" s="4">
        <v>1</v>
      </c>
      <c r="M230" s="4">
        <v>0</v>
      </c>
      <c r="N230" s="8">
        <f>IFERROR(Table1[[#This Row],[3 pts]]/Table1[[#This Row],[3pt att]],0)</f>
        <v>0</v>
      </c>
      <c r="O230" s="4">
        <v>15</v>
      </c>
      <c r="P230" s="4">
        <v>1</v>
      </c>
      <c r="Q230" s="4">
        <v>3</v>
      </c>
      <c r="R230" s="4">
        <v>0</v>
      </c>
    </row>
    <row r="231" spans="1:18" x14ac:dyDescent="0.2">
      <c r="A231" s="1">
        <v>46156</v>
      </c>
      <c r="B231" s="6">
        <v>2</v>
      </c>
      <c r="C231" t="s">
        <v>17</v>
      </c>
      <c r="D231" t="s">
        <v>27</v>
      </c>
      <c r="F231" s="6"/>
      <c r="G231" s="4">
        <v>2</v>
      </c>
      <c r="H231" s="4">
        <v>1</v>
      </c>
      <c r="I231" s="4">
        <v>0</v>
      </c>
      <c r="J231" s="7">
        <f>IFERROR(Table1[[#This Row],[2pt FGM]]/Table1[[#This Row],[2pt FGatt]],0)</f>
        <v>0</v>
      </c>
      <c r="K231" s="4">
        <v>6</v>
      </c>
      <c r="L231" s="4">
        <v>12</v>
      </c>
      <c r="M231" s="4">
        <v>2</v>
      </c>
      <c r="N231" s="8">
        <f>IFERROR(Table1[[#This Row],[3 pts]]/Table1[[#This Row],[3pt att]],0)</f>
        <v>0.16666666666666666</v>
      </c>
      <c r="O231" s="4">
        <v>4</v>
      </c>
      <c r="P231" s="4">
        <v>3</v>
      </c>
      <c r="Q231" s="4">
        <v>1</v>
      </c>
      <c r="R231" s="4">
        <v>0</v>
      </c>
    </row>
    <row r="232" spans="1:18" x14ac:dyDescent="0.2">
      <c r="A232" s="1">
        <v>46156</v>
      </c>
      <c r="B232" s="6">
        <v>2</v>
      </c>
      <c r="C232" t="s">
        <v>18</v>
      </c>
      <c r="D232" t="s">
        <v>27</v>
      </c>
      <c r="F232" s="6"/>
      <c r="G232" s="4">
        <v>2</v>
      </c>
      <c r="H232" s="4">
        <v>2</v>
      </c>
      <c r="I232" s="4">
        <v>0</v>
      </c>
      <c r="J232" s="7">
        <f>IFERROR(Table1[[#This Row],[2pt FGM]]/Table1[[#This Row],[2pt FGatt]],0)</f>
        <v>0</v>
      </c>
      <c r="K232" s="4">
        <v>6</v>
      </c>
      <c r="L232" s="4">
        <v>7</v>
      </c>
      <c r="M232" s="4">
        <v>2</v>
      </c>
      <c r="N232" s="8">
        <f>IFERROR(Table1[[#This Row],[3 pts]]/Table1[[#This Row],[3pt att]],0)</f>
        <v>0.2857142857142857</v>
      </c>
      <c r="O232" s="4">
        <v>4</v>
      </c>
      <c r="P232" s="4">
        <v>0</v>
      </c>
      <c r="Q232" s="4">
        <v>0</v>
      </c>
      <c r="R232" s="4">
        <v>0</v>
      </c>
    </row>
    <row r="233" spans="1:18" x14ac:dyDescent="0.2">
      <c r="A233" s="1">
        <v>46156</v>
      </c>
      <c r="B233" s="6">
        <v>2</v>
      </c>
      <c r="C233" t="s">
        <v>11</v>
      </c>
      <c r="D233" t="s">
        <v>31</v>
      </c>
      <c r="F233" s="6"/>
      <c r="G233" s="4">
        <v>2</v>
      </c>
      <c r="H233" s="4">
        <v>5</v>
      </c>
      <c r="I233" s="4">
        <v>1</v>
      </c>
      <c r="J233" s="7">
        <f>IFERROR(Table1[[#This Row],[2pt FGM]]/Table1[[#This Row],[2pt FGatt]],0)</f>
        <v>0.2</v>
      </c>
      <c r="K233" s="4">
        <v>2</v>
      </c>
      <c r="L233" s="4">
        <v>0</v>
      </c>
      <c r="M233" s="4">
        <v>0</v>
      </c>
      <c r="N233" s="8">
        <f>IFERROR(Table1[[#This Row],[3 pts]]/Table1[[#This Row],[3pt att]],0)</f>
        <v>0</v>
      </c>
      <c r="O233" s="4">
        <v>0</v>
      </c>
      <c r="P233" s="4">
        <v>5</v>
      </c>
      <c r="Q233" s="4">
        <v>3</v>
      </c>
      <c r="R233" s="4">
        <v>0</v>
      </c>
    </row>
    <row r="234" spans="1:18" x14ac:dyDescent="0.2">
      <c r="A234" s="1">
        <v>46156</v>
      </c>
      <c r="B234" s="6">
        <v>2</v>
      </c>
      <c r="C234" t="s">
        <v>20</v>
      </c>
      <c r="D234" t="s">
        <v>31</v>
      </c>
      <c r="F234" s="6"/>
      <c r="G234" s="4">
        <v>2</v>
      </c>
      <c r="H234" s="4">
        <v>3</v>
      </c>
      <c r="I234" s="4">
        <v>1</v>
      </c>
      <c r="J234" s="7">
        <f>IFERROR(Table1[[#This Row],[2pt FGM]]/Table1[[#This Row],[2pt FGatt]],0)</f>
        <v>0.33333333333333331</v>
      </c>
      <c r="K234" s="4">
        <v>2</v>
      </c>
      <c r="L234" s="4">
        <v>0</v>
      </c>
      <c r="M234" s="4">
        <v>0</v>
      </c>
      <c r="N234" s="8">
        <f>IFERROR(Table1[[#This Row],[3 pts]]/Table1[[#This Row],[3pt att]],0)</f>
        <v>0</v>
      </c>
      <c r="O234" s="4">
        <v>3</v>
      </c>
      <c r="P234" s="4">
        <v>0</v>
      </c>
      <c r="Q234" s="4">
        <v>1</v>
      </c>
      <c r="R234" s="4">
        <v>0</v>
      </c>
    </row>
    <row r="235" spans="1:18" x14ac:dyDescent="0.2">
      <c r="A235" s="1">
        <v>46156</v>
      </c>
      <c r="B235" s="6">
        <v>2</v>
      </c>
      <c r="C235" t="s">
        <v>9</v>
      </c>
      <c r="D235" t="s">
        <v>31</v>
      </c>
      <c r="F235" s="6"/>
      <c r="G235" s="4">
        <v>2</v>
      </c>
      <c r="H235" s="4">
        <v>8</v>
      </c>
      <c r="I235" s="4">
        <v>5</v>
      </c>
      <c r="J235" s="7">
        <f>IFERROR(Table1[[#This Row],[2pt FGM]]/Table1[[#This Row],[2pt FGatt]],0)</f>
        <v>0.625</v>
      </c>
      <c r="K235" s="4">
        <v>13</v>
      </c>
      <c r="L235" s="4">
        <v>3</v>
      </c>
      <c r="M235" s="4">
        <v>1</v>
      </c>
      <c r="N235" s="8">
        <f>IFERROR(Table1[[#This Row],[3 pts]]/Table1[[#This Row],[3pt att]],0)</f>
        <v>0.33333333333333331</v>
      </c>
      <c r="O235" s="4">
        <v>7</v>
      </c>
      <c r="P235" s="4">
        <v>1</v>
      </c>
      <c r="Q235" s="4">
        <v>3</v>
      </c>
      <c r="R235" s="4">
        <v>0</v>
      </c>
    </row>
    <row r="236" spans="1:18" x14ac:dyDescent="0.2">
      <c r="A236" s="1">
        <v>46156</v>
      </c>
      <c r="B236" s="6">
        <v>2</v>
      </c>
      <c r="C236" t="s">
        <v>19</v>
      </c>
      <c r="D236" t="s">
        <v>31</v>
      </c>
      <c r="F236" s="6"/>
      <c r="G236" s="4">
        <v>2</v>
      </c>
      <c r="H236" s="4">
        <v>14</v>
      </c>
      <c r="I236" s="4">
        <v>2</v>
      </c>
      <c r="J236" s="7">
        <f>IFERROR(Table1[[#This Row],[2pt FGM]]/Table1[[#This Row],[2pt FGatt]],0)</f>
        <v>0.14285714285714285</v>
      </c>
      <c r="K236" s="4">
        <v>7</v>
      </c>
      <c r="L236" s="4">
        <v>4</v>
      </c>
      <c r="M236" s="4">
        <v>1</v>
      </c>
      <c r="N236" s="8">
        <f>IFERROR(Table1[[#This Row],[3 pts]]/Table1[[#This Row],[3pt att]],0)</f>
        <v>0.25</v>
      </c>
      <c r="O236" s="4">
        <v>8</v>
      </c>
      <c r="P236" s="4">
        <v>0</v>
      </c>
      <c r="Q236" s="4">
        <v>1</v>
      </c>
      <c r="R236" s="4">
        <v>0</v>
      </c>
    </row>
    <row r="237" spans="1:18" x14ac:dyDescent="0.2">
      <c r="A237" s="1">
        <v>46170</v>
      </c>
      <c r="B237" s="6">
        <v>2</v>
      </c>
      <c r="C237" t="s">
        <v>7</v>
      </c>
      <c r="D237" t="s">
        <v>27</v>
      </c>
      <c r="F237" s="6"/>
      <c r="G237" s="4">
        <v>1</v>
      </c>
      <c r="H237" s="4">
        <v>12</v>
      </c>
      <c r="I237" s="4">
        <v>5</v>
      </c>
      <c r="J237" s="7">
        <f>IFERROR(Table1[[#This Row],[2pt FGM]]/Table1[[#This Row],[2pt FGatt]],0)</f>
        <v>0.41666666666666669</v>
      </c>
      <c r="K237" s="4">
        <v>10</v>
      </c>
      <c r="L237" s="4">
        <v>0</v>
      </c>
      <c r="M237" s="4">
        <v>0</v>
      </c>
      <c r="N237" s="8">
        <f>IFERROR(Table1[[#This Row],[3 pts]]/Table1[[#This Row],[3pt att]],0)</f>
        <v>0</v>
      </c>
      <c r="O237" s="4">
        <v>17</v>
      </c>
      <c r="P237" s="4">
        <v>5</v>
      </c>
      <c r="Q237" s="4">
        <v>0</v>
      </c>
      <c r="R237" s="4">
        <v>0</v>
      </c>
    </row>
    <row r="238" spans="1:18" x14ac:dyDescent="0.2">
      <c r="A238" s="1">
        <v>46170</v>
      </c>
      <c r="B238" s="6">
        <v>2</v>
      </c>
      <c r="C238" t="s">
        <v>16</v>
      </c>
      <c r="D238" t="s">
        <v>27</v>
      </c>
      <c r="F238" s="6"/>
      <c r="G238" s="4">
        <v>1</v>
      </c>
      <c r="H238" s="4">
        <v>11</v>
      </c>
      <c r="I238" s="4">
        <v>1</v>
      </c>
      <c r="J238" s="7">
        <f>IFERROR(Table1[[#This Row],[2pt FGM]]/Table1[[#This Row],[2pt FGatt]],0)</f>
        <v>9.0909090909090912E-2</v>
      </c>
      <c r="K238" s="4">
        <v>2</v>
      </c>
      <c r="L238" s="4">
        <v>3</v>
      </c>
      <c r="M238" s="4">
        <v>0</v>
      </c>
      <c r="N238" s="8">
        <f>IFERROR(Table1[[#This Row],[3 pts]]/Table1[[#This Row],[3pt att]],0)</f>
        <v>0</v>
      </c>
      <c r="O238" s="4">
        <v>11</v>
      </c>
      <c r="P238" s="4">
        <v>0</v>
      </c>
      <c r="Q238" s="4">
        <v>3</v>
      </c>
      <c r="R238" s="4">
        <v>2</v>
      </c>
    </row>
    <row r="239" spans="1:18" x14ac:dyDescent="0.2">
      <c r="A239" s="1">
        <v>46170</v>
      </c>
      <c r="B239" s="6">
        <v>2</v>
      </c>
      <c r="C239" t="s">
        <v>17</v>
      </c>
      <c r="D239" t="s">
        <v>27</v>
      </c>
      <c r="F239" s="6"/>
      <c r="G239" s="4">
        <v>1</v>
      </c>
      <c r="H239" s="4">
        <v>3</v>
      </c>
      <c r="I239" s="4">
        <v>0</v>
      </c>
      <c r="J239" s="7">
        <f>IFERROR(Table1[[#This Row],[2pt FGM]]/Table1[[#This Row],[2pt FGatt]],0)</f>
        <v>0</v>
      </c>
      <c r="K239" s="4">
        <v>9</v>
      </c>
      <c r="L239" s="4">
        <v>8</v>
      </c>
      <c r="M239" s="4">
        <v>3</v>
      </c>
      <c r="N239" s="8">
        <f>IFERROR(Table1[[#This Row],[3 pts]]/Table1[[#This Row],[3pt att]],0)</f>
        <v>0.375</v>
      </c>
      <c r="O239" s="4">
        <v>3</v>
      </c>
      <c r="P239" s="4">
        <v>4</v>
      </c>
      <c r="Q239" s="4">
        <v>0</v>
      </c>
      <c r="R239" s="4">
        <v>0</v>
      </c>
    </row>
    <row r="240" spans="1:18" x14ac:dyDescent="0.2">
      <c r="A240" s="1">
        <v>46170</v>
      </c>
      <c r="B240" s="6">
        <v>2</v>
      </c>
      <c r="C240" t="s">
        <v>18</v>
      </c>
      <c r="D240" t="s">
        <v>27</v>
      </c>
      <c r="F240" s="6"/>
      <c r="G240" s="4">
        <v>1</v>
      </c>
      <c r="H240" s="4">
        <v>2</v>
      </c>
      <c r="I240" s="4">
        <v>1</v>
      </c>
      <c r="J240" s="7">
        <f>IFERROR(Table1[[#This Row],[2pt FGM]]/Table1[[#This Row],[2pt FGatt]],0)</f>
        <v>0.5</v>
      </c>
      <c r="K240" s="4">
        <v>2</v>
      </c>
      <c r="L240" s="4">
        <v>10</v>
      </c>
      <c r="M240" s="4">
        <v>0</v>
      </c>
      <c r="N240" s="8">
        <f>IFERROR(Table1[[#This Row],[3 pts]]/Table1[[#This Row],[3pt att]],0)</f>
        <v>0</v>
      </c>
      <c r="O240" s="4">
        <v>2</v>
      </c>
      <c r="P240" s="4">
        <v>2</v>
      </c>
      <c r="Q240" s="4">
        <v>2</v>
      </c>
      <c r="R240" s="4">
        <v>0</v>
      </c>
    </row>
    <row r="241" spans="1:18" x14ac:dyDescent="0.2">
      <c r="A241" s="1">
        <v>46170</v>
      </c>
      <c r="B241" s="6">
        <v>2</v>
      </c>
      <c r="C241" t="s">
        <v>11</v>
      </c>
      <c r="D241" t="s">
        <v>31</v>
      </c>
      <c r="F241" s="6"/>
      <c r="G241" s="4">
        <v>1</v>
      </c>
      <c r="H241" s="4">
        <v>6</v>
      </c>
      <c r="I241" s="4">
        <v>1</v>
      </c>
      <c r="J241" s="7">
        <f>IFERROR(Table1[[#This Row],[2pt FGM]]/Table1[[#This Row],[2pt FGatt]],0)</f>
        <v>0.16666666666666666</v>
      </c>
      <c r="K241" s="4">
        <v>2</v>
      </c>
      <c r="L241" s="4">
        <v>2</v>
      </c>
      <c r="M241" s="4">
        <v>0</v>
      </c>
      <c r="N241" s="8">
        <f>IFERROR(Table1[[#This Row],[3 pts]]/Table1[[#This Row],[3pt att]],0)</f>
        <v>0</v>
      </c>
      <c r="O241" s="4">
        <v>8</v>
      </c>
      <c r="P241" s="4">
        <v>1</v>
      </c>
      <c r="Q241" s="4">
        <v>3</v>
      </c>
      <c r="R241" s="4">
        <v>0</v>
      </c>
    </row>
    <row r="242" spans="1:18" x14ac:dyDescent="0.2">
      <c r="A242" s="1">
        <v>46170</v>
      </c>
      <c r="B242" s="6">
        <v>2</v>
      </c>
      <c r="C242" t="s">
        <v>20</v>
      </c>
      <c r="D242" t="s">
        <v>31</v>
      </c>
      <c r="F242" s="6"/>
      <c r="G242" s="4">
        <v>1</v>
      </c>
      <c r="H242" s="4">
        <v>7</v>
      </c>
      <c r="I242" s="4">
        <v>1</v>
      </c>
      <c r="J242" s="7">
        <f>IFERROR(Table1[[#This Row],[2pt FGM]]/Table1[[#This Row],[2pt FGatt]],0)</f>
        <v>0.14285714285714285</v>
      </c>
      <c r="K242" s="4">
        <v>2</v>
      </c>
      <c r="L242" s="4">
        <v>0</v>
      </c>
      <c r="M242" s="4">
        <v>0</v>
      </c>
      <c r="N242" s="8">
        <f>IFERROR(Table1[[#This Row],[3 pts]]/Table1[[#This Row],[3pt att]],0)</f>
        <v>0</v>
      </c>
      <c r="O242" s="4">
        <v>9</v>
      </c>
      <c r="P242" s="4">
        <v>0</v>
      </c>
      <c r="Q242" s="4">
        <v>2</v>
      </c>
      <c r="R242" s="4">
        <v>0</v>
      </c>
    </row>
    <row r="243" spans="1:18" x14ac:dyDescent="0.2">
      <c r="A243" s="1">
        <v>46170</v>
      </c>
      <c r="B243" s="6">
        <v>2</v>
      </c>
      <c r="C243" t="s">
        <v>9</v>
      </c>
      <c r="D243" t="s">
        <v>31</v>
      </c>
      <c r="F243" s="6"/>
      <c r="G243" s="4">
        <v>1</v>
      </c>
      <c r="H243" s="4">
        <v>5</v>
      </c>
      <c r="I243" s="4">
        <v>1</v>
      </c>
      <c r="J243" s="7">
        <f>IFERROR(Table1[[#This Row],[2pt FGM]]/Table1[[#This Row],[2pt FGatt]],0)</f>
        <v>0.2</v>
      </c>
      <c r="K243" s="4">
        <v>2</v>
      </c>
      <c r="L243" s="4">
        <v>6</v>
      </c>
      <c r="M243" s="4">
        <v>0</v>
      </c>
      <c r="N243" s="8">
        <f>IFERROR(Table1[[#This Row],[3 pts]]/Table1[[#This Row],[3pt att]],0)</f>
        <v>0</v>
      </c>
      <c r="O243" s="4">
        <v>4</v>
      </c>
      <c r="P243" s="4">
        <v>1</v>
      </c>
      <c r="Q243" s="4">
        <v>3</v>
      </c>
      <c r="R243" s="4">
        <v>0</v>
      </c>
    </row>
    <row r="244" spans="1:18" x14ac:dyDescent="0.2">
      <c r="A244" s="1">
        <v>46170</v>
      </c>
      <c r="B244" s="6">
        <v>2</v>
      </c>
      <c r="C244" t="s">
        <v>19</v>
      </c>
      <c r="D244" t="s">
        <v>31</v>
      </c>
      <c r="F244" s="6"/>
      <c r="G244" s="4">
        <v>1</v>
      </c>
      <c r="H244" s="4">
        <v>11</v>
      </c>
      <c r="I244" s="4">
        <v>5</v>
      </c>
      <c r="J244" s="7">
        <f>IFERROR(Table1[[#This Row],[2pt FGM]]/Table1[[#This Row],[2pt FGatt]],0)</f>
        <v>0.45454545454545453</v>
      </c>
      <c r="K244" s="4">
        <v>13</v>
      </c>
      <c r="L244" s="4">
        <v>3</v>
      </c>
      <c r="M244" s="4">
        <v>1</v>
      </c>
      <c r="N244" s="8">
        <f>IFERROR(Table1[[#This Row],[3 pts]]/Table1[[#This Row],[3pt att]],0)</f>
        <v>0.33333333333333331</v>
      </c>
      <c r="O244" s="4">
        <v>7</v>
      </c>
      <c r="P244" s="4">
        <v>4</v>
      </c>
      <c r="Q244" s="4">
        <v>1</v>
      </c>
      <c r="R244" s="4">
        <v>1</v>
      </c>
    </row>
    <row r="245" spans="1:18" x14ac:dyDescent="0.2">
      <c r="A245" s="1">
        <v>46170</v>
      </c>
      <c r="B245" s="6">
        <v>2</v>
      </c>
      <c r="C245" t="s">
        <v>7</v>
      </c>
      <c r="D245" t="s">
        <v>27</v>
      </c>
      <c r="F245" s="6"/>
      <c r="G245" s="4">
        <v>2</v>
      </c>
      <c r="H245" s="4">
        <v>5</v>
      </c>
      <c r="I245" s="4">
        <v>2</v>
      </c>
      <c r="J245" s="7">
        <f>IFERROR(Table1[[#This Row],[2pt FGM]]/Table1[[#This Row],[2pt FGatt]],0)</f>
        <v>0.4</v>
      </c>
      <c r="K245" s="4">
        <v>4</v>
      </c>
      <c r="L245" s="4">
        <v>1</v>
      </c>
      <c r="M245" s="4">
        <v>0</v>
      </c>
      <c r="N245" s="8">
        <f>IFERROR(Table1[[#This Row],[3 pts]]/Table1[[#This Row],[3pt att]],0)</f>
        <v>0</v>
      </c>
      <c r="O245" s="4">
        <v>6</v>
      </c>
      <c r="P245" s="4">
        <v>7</v>
      </c>
      <c r="Q245" s="4">
        <v>1</v>
      </c>
      <c r="R245" s="4">
        <v>0</v>
      </c>
    </row>
    <row r="246" spans="1:18" x14ac:dyDescent="0.2">
      <c r="A246" s="1">
        <v>46170</v>
      </c>
      <c r="B246" s="6">
        <v>2</v>
      </c>
      <c r="C246" t="s">
        <v>16</v>
      </c>
      <c r="D246" t="s">
        <v>27</v>
      </c>
      <c r="F246" s="6"/>
      <c r="G246" s="4">
        <v>2</v>
      </c>
      <c r="H246" s="4">
        <v>9</v>
      </c>
      <c r="I246" s="4">
        <v>6</v>
      </c>
      <c r="J246" s="7">
        <f>IFERROR(Table1[[#This Row],[2pt FGM]]/Table1[[#This Row],[2pt FGatt]],0)</f>
        <v>0.66666666666666663</v>
      </c>
      <c r="K246" s="4">
        <v>12</v>
      </c>
      <c r="L246" s="4">
        <v>4</v>
      </c>
      <c r="M246" s="4">
        <v>0</v>
      </c>
      <c r="N246" s="8">
        <f>IFERROR(Table1[[#This Row],[3 pts]]/Table1[[#This Row],[3pt att]],0)</f>
        <v>0</v>
      </c>
      <c r="O246" s="4">
        <v>8</v>
      </c>
      <c r="P246" s="4">
        <v>1</v>
      </c>
      <c r="Q246" s="4">
        <v>1</v>
      </c>
      <c r="R246" s="4">
        <v>1</v>
      </c>
    </row>
    <row r="247" spans="1:18" x14ac:dyDescent="0.2">
      <c r="A247" s="1">
        <v>46170</v>
      </c>
      <c r="B247" s="6">
        <v>2</v>
      </c>
      <c r="C247" t="s">
        <v>17</v>
      </c>
      <c r="D247" t="s">
        <v>27</v>
      </c>
      <c r="F247" s="6"/>
      <c r="G247" s="4">
        <v>2</v>
      </c>
      <c r="H247" s="4">
        <v>2</v>
      </c>
      <c r="I247" s="4">
        <v>0</v>
      </c>
      <c r="J247" s="7">
        <f>IFERROR(Table1[[#This Row],[2pt FGM]]/Table1[[#This Row],[2pt FGatt]],0)</f>
        <v>0</v>
      </c>
      <c r="K247" s="4">
        <v>0</v>
      </c>
      <c r="L247" s="4">
        <v>4</v>
      </c>
      <c r="M247" s="4">
        <v>0</v>
      </c>
      <c r="N247" s="8">
        <f>IFERROR(Table1[[#This Row],[3 pts]]/Table1[[#This Row],[3pt att]],0)</f>
        <v>0</v>
      </c>
      <c r="O247" s="4">
        <v>0</v>
      </c>
      <c r="P247" s="4">
        <v>0</v>
      </c>
      <c r="Q247" s="4">
        <v>1</v>
      </c>
      <c r="R247" s="4">
        <v>0</v>
      </c>
    </row>
    <row r="248" spans="1:18" x14ac:dyDescent="0.2">
      <c r="A248" s="1">
        <v>46170</v>
      </c>
      <c r="B248" s="6">
        <v>2</v>
      </c>
      <c r="C248" t="s">
        <v>18</v>
      </c>
      <c r="D248" t="s">
        <v>27</v>
      </c>
      <c r="F248" s="6"/>
      <c r="G248" s="4">
        <v>2</v>
      </c>
      <c r="H248" s="4">
        <v>1</v>
      </c>
      <c r="I248" s="4">
        <v>0</v>
      </c>
      <c r="J248" s="7">
        <f>IFERROR(Table1[[#This Row],[2pt FGM]]/Table1[[#This Row],[2pt FGatt]],0)</f>
        <v>0</v>
      </c>
      <c r="K248" s="4">
        <v>3</v>
      </c>
      <c r="L248" s="4">
        <v>6</v>
      </c>
      <c r="M248" s="4">
        <v>1</v>
      </c>
      <c r="N248" s="8">
        <f>IFERROR(Table1[[#This Row],[3 pts]]/Table1[[#This Row],[3pt att]],0)</f>
        <v>0.16666666666666666</v>
      </c>
      <c r="O248" s="4">
        <v>0</v>
      </c>
      <c r="P248" s="4">
        <v>0</v>
      </c>
      <c r="Q248" s="4">
        <v>2</v>
      </c>
      <c r="R248" s="4">
        <v>0</v>
      </c>
    </row>
    <row r="249" spans="1:18" x14ac:dyDescent="0.2">
      <c r="A249" s="1">
        <v>46170</v>
      </c>
      <c r="B249" s="6">
        <v>2</v>
      </c>
      <c r="C249" t="s">
        <v>11</v>
      </c>
      <c r="D249" t="s">
        <v>31</v>
      </c>
      <c r="F249" s="6"/>
      <c r="G249" s="4">
        <v>2</v>
      </c>
      <c r="H249" s="4">
        <v>3</v>
      </c>
      <c r="I249" s="4">
        <v>0</v>
      </c>
      <c r="J249" s="7">
        <f>IFERROR(Table1[[#This Row],[2pt FGM]]/Table1[[#This Row],[2pt FGatt]],0)</f>
        <v>0</v>
      </c>
      <c r="K249" s="4">
        <v>0</v>
      </c>
      <c r="L249" s="4">
        <v>1</v>
      </c>
      <c r="M249" s="4">
        <v>0</v>
      </c>
      <c r="N249" s="8">
        <f>IFERROR(Table1[[#This Row],[3 pts]]/Table1[[#This Row],[3pt att]],0)</f>
        <v>0</v>
      </c>
      <c r="O249" s="4">
        <v>4</v>
      </c>
      <c r="P249" s="4">
        <v>2</v>
      </c>
      <c r="Q249" s="4">
        <v>4</v>
      </c>
      <c r="R249" s="4">
        <v>0</v>
      </c>
    </row>
    <row r="250" spans="1:18" x14ac:dyDescent="0.2">
      <c r="A250" s="1">
        <v>46170</v>
      </c>
      <c r="B250" s="6">
        <v>2</v>
      </c>
      <c r="C250" t="s">
        <v>20</v>
      </c>
      <c r="D250" t="s">
        <v>31</v>
      </c>
      <c r="F250" s="6"/>
      <c r="G250" s="4">
        <v>2</v>
      </c>
      <c r="H250" s="4">
        <v>5</v>
      </c>
      <c r="I250" s="4">
        <v>1</v>
      </c>
      <c r="J250" s="7">
        <f>IFERROR(Table1[[#This Row],[2pt FGM]]/Table1[[#This Row],[2pt FGatt]],0)</f>
        <v>0.2</v>
      </c>
      <c r="K250" s="4">
        <v>2</v>
      </c>
      <c r="L250" s="4">
        <v>0</v>
      </c>
      <c r="M250" s="4">
        <v>0</v>
      </c>
      <c r="N250" s="8">
        <f>IFERROR(Table1[[#This Row],[3 pts]]/Table1[[#This Row],[3pt att]],0)</f>
        <v>0</v>
      </c>
      <c r="O250" s="4">
        <v>5</v>
      </c>
      <c r="P250" s="4">
        <v>2</v>
      </c>
      <c r="Q250" s="4">
        <v>2</v>
      </c>
      <c r="R250" s="4">
        <v>0</v>
      </c>
    </row>
    <row r="251" spans="1:18" x14ac:dyDescent="0.2">
      <c r="A251" s="1">
        <v>46170</v>
      </c>
      <c r="B251" s="6">
        <v>2</v>
      </c>
      <c r="C251" t="s">
        <v>9</v>
      </c>
      <c r="D251" t="s">
        <v>31</v>
      </c>
      <c r="F251" s="6"/>
      <c r="G251" s="4">
        <v>2</v>
      </c>
      <c r="H251" s="4">
        <v>4</v>
      </c>
      <c r="I251" s="4">
        <v>2</v>
      </c>
      <c r="J251" s="7">
        <f>IFERROR(Table1[[#This Row],[2pt FGM]]/Table1[[#This Row],[2pt FGatt]],0)</f>
        <v>0.5</v>
      </c>
      <c r="K251" s="4">
        <v>10</v>
      </c>
      <c r="L251" s="4">
        <v>5</v>
      </c>
      <c r="M251" s="4">
        <v>2</v>
      </c>
      <c r="N251" s="8">
        <f>IFERROR(Table1[[#This Row],[3 pts]]/Table1[[#This Row],[3pt att]],0)</f>
        <v>0.4</v>
      </c>
      <c r="O251" s="4">
        <v>4</v>
      </c>
      <c r="P251" s="4">
        <v>3</v>
      </c>
      <c r="Q251" s="4">
        <v>1</v>
      </c>
      <c r="R251" s="4">
        <v>0</v>
      </c>
    </row>
    <row r="252" spans="1:18" x14ac:dyDescent="0.2">
      <c r="A252" s="1">
        <v>46170</v>
      </c>
      <c r="B252" s="6">
        <v>2</v>
      </c>
      <c r="C252" t="s">
        <v>19</v>
      </c>
      <c r="D252" t="s">
        <v>31</v>
      </c>
      <c r="F252" s="6"/>
      <c r="G252" s="4">
        <v>2</v>
      </c>
      <c r="H252" s="4">
        <v>8</v>
      </c>
      <c r="I252" s="4">
        <v>3</v>
      </c>
      <c r="J252" s="7">
        <f>IFERROR(Table1[[#This Row],[2pt FGM]]/Table1[[#This Row],[2pt FGatt]],0)</f>
        <v>0.375</v>
      </c>
      <c r="K252" s="4">
        <v>18</v>
      </c>
      <c r="L252" s="4">
        <v>9</v>
      </c>
      <c r="M252" s="4">
        <v>4</v>
      </c>
      <c r="N252" s="8">
        <f>IFERROR(Table1[[#This Row],[3 pts]]/Table1[[#This Row],[3pt att]],0)</f>
        <v>0.44444444444444442</v>
      </c>
      <c r="O252" s="4">
        <v>10</v>
      </c>
      <c r="P252" s="4">
        <v>1</v>
      </c>
      <c r="Q252" s="4">
        <v>2</v>
      </c>
      <c r="R252" s="4">
        <v>0</v>
      </c>
    </row>
    <row r="253" spans="1:18" x14ac:dyDescent="0.2">
      <c r="A253" s="1">
        <v>46170</v>
      </c>
      <c r="B253" s="6">
        <v>2</v>
      </c>
      <c r="C253" t="s">
        <v>7</v>
      </c>
      <c r="D253" t="s">
        <v>27</v>
      </c>
      <c r="F253" s="6"/>
      <c r="G253" s="4">
        <v>3</v>
      </c>
      <c r="H253" s="4">
        <v>8</v>
      </c>
      <c r="I253" s="4">
        <v>5</v>
      </c>
      <c r="J253" s="7">
        <f>IFERROR(Table1[[#This Row],[2pt FGM]]/Table1[[#This Row],[2pt FGatt]],0)</f>
        <v>0.625</v>
      </c>
      <c r="K253" s="4">
        <v>10</v>
      </c>
      <c r="L253" s="4">
        <v>3</v>
      </c>
      <c r="M253" s="4">
        <v>0</v>
      </c>
      <c r="N253" s="8">
        <f>IFERROR(Table1[[#This Row],[3 pts]]/Table1[[#This Row],[3pt att]],0)</f>
        <v>0</v>
      </c>
      <c r="O253" s="4">
        <v>6</v>
      </c>
      <c r="P253" s="4">
        <v>4</v>
      </c>
      <c r="Q253" s="4">
        <v>1</v>
      </c>
      <c r="R253" s="4">
        <v>0</v>
      </c>
    </row>
    <row r="254" spans="1:18" x14ac:dyDescent="0.2">
      <c r="A254" s="1">
        <v>46170</v>
      </c>
      <c r="B254" s="6">
        <v>2</v>
      </c>
      <c r="C254" t="s">
        <v>16</v>
      </c>
      <c r="D254" t="s">
        <v>27</v>
      </c>
      <c r="F254" s="6"/>
      <c r="G254" s="4">
        <v>3</v>
      </c>
      <c r="H254" s="4">
        <v>5</v>
      </c>
      <c r="I254" s="4">
        <v>1</v>
      </c>
      <c r="J254" s="7">
        <f>IFERROR(Table1[[#This Row],[2pt FGM]]/Table1[[#This Row],[2pt FGatt]],0)</f>
        <v>0.2</v>
      </c>
      <c r="K254" s="4">
        <v>2</v>
      </c>
      <c r="L254" s="4">
        <v>4</v>
      </c>
      <c r="M254" s="4">
        <v>0</v>
      </c>
      <c r="N254" s="8">
        <f>IFERROR(Table1[[#This Row],[3 pts]]/Table1[[#This Row],[3pt att]],0)</f>
        <v>0</v>
      </c>
      <c r="O254" s="4">
        <v>8</v>
      </c>
      <c r="P254" s="4">
        <v>0</v>
      </c>
      <c r="Q254" s="4">
        <v>1</v>
      </c>
      <c r="R254" s="4">
        <v>2</v>
      </c>
    </row>
    <row r="255" spans="1:18" x14ac:dyDescent="0.2">
      <c r="A255" s="1">
        <v>46170</v>
      </c>
      <c r="B255" s="6">
        <v>2</v>
      </c>
      <c r="C255" t="s">
        <v>18</v>
      </c>
      <c r="D255" t="s">
        <v>27</v>
      </c>
      <c r="F255" s="6"/>
      <c r="G255" s="4">
        <v>3</v>
      </c>
      <c r="H255" s="4">
        <v>5</v>
      </c>
      <c r="I255" s="4">
        <v>0</v>
      </c>
      <c r="J255" s="7">
        <f>IFERROR(Table1[[#This Row],[2pt FGM]]/Table1[[#This Row],[2pt FGatt]],0)</f>
        <v>0</v>
      </c>
      <c r="K255" s="4">
        <v>0</v>
      </c>
      <c r="L255" s="4">
        <v>6</v>
      </c>
      <c r="M255" s="4">
        <v>0</v>
      </c>
      <c r="N255" s="8">
        <f>IFERROR(Table1[[#This Row],[3 pts]]/Table1[[#This Row],[3pt att]],0)</f>
        <v>0</v>
      </c>
      <c r="O255" s="4">
        <v>1</v>
      </c>
      <c r="P255" s="4">
        <v>4</v>
      </c>
      <c r="Q255" s="4">
        <v>2</v>
      </c>
      <c r="R255" s="4">
        <v>0</v>
      </c>
    </row>
    <row r="256" spans="1:18" x14ac:dyDescent="0.2">
      <c r="A256" s="1">
        <v>46170</v>
      </c>
      <c r="B256" s="6">
        <v>2</v>
      </c>
      <c r="C256" t="s">
        <v>11</v>
      </c>
      <c r="D256" t="s">
        <v>31</v>
      </c>
      <c r="F256" s="6"/>
      <c r="G256" s="4">
        <v>3</v>
      </c>
      <c r="H256" s="4">
        <v>3</v>
      </c>
      <c r="I256" s="4">
        <v>1</v>
      </c>
      <c r="J256" s="7">
        <f>IFERROR(Table1[[#This Row],[2pt FGM]]/Table1[[#This Row],[2pt FGatt]],0)</f>
        <v>0.33333333333333331</v>
      </c>
      <c r="K256" s="4">
        <v>2</v>
      </c>
      <c r="L256" s="4">
        <v>0</v>
      </c>
      <c r="M256" s="4">
        <v>0</v>
      </c>
      <c r="N256" s="8">
        <f>IFERROR(Table1[[#This Row],[3 pts]]/Table1[[#This Row],[3pt att]],0)</f>
        <v>0</v>
      </c>
      <c r="O256" s="4">
        <v>5</v>
      </c>
      <c r="P256" s="4">
        <v>0</v>
      </c>
      <c r="Q256" s="4">
        <v>1</v>
      </c>
      <c r="R256" s="4">
        <v>0</v>
      </c>
    </row>
    <row r="257" spans="1:18" x14ac:dyDescent="0.2">
      <c r="A257" s="1">
        <v>46170</v>
      </c>
      <c r="B257" s="6">
        <v>2</v>
      </c>
      <c r="C257" t="s">
        <v>20</v>
      </c>
      <c r="D257" t="s">
        <v>31</v>
      </c>
      <c r="F257" s="6"/>
      <c r="G257" s="4">
        <v>3</v>
      </c>
      <c r="H257" s="4">
        <v>1</v>
      </c>
      <c r="I257" s="4">
        <v>0</v>
      </c>
      <c r="J257" s="7">
        <f>IFERROR(Table1[[#This Row],[2pt FGM]]/Table1[[#This Row],[2pt FGatt]],0)</f>
        <v>0</v>
      </c>
      <c r="K257" s="4">
        <v>0</v>
      </c>
      <c r="L257" s="4">
        <v>0</v>
      </c>
      <c r="M257" s="4">
        <v>0</v>
      </c>
      <c r="N257" s="8">
        <f>IFERROR(Table1[[#This Row],[3 pts]]/Table1[[#This Row],[3pt att]],0)</f>
        <v>0</v>
      </c>
      <c r="O257" s="4">
        <v>1</v>
      </c>
      <c r="P257" s="4">
        <v>0</v>
      </c>
      <c r="Q257" s="4">
        <v>1</v>
      </c>
      <c r="R257" s="4">
        <v>1</v>
      </c>
    </row>
    <row r="258" spans="1:18" x14ac:dyDescent="0.2">
      <c r="A258" s="1">
        <v>46170</v>
      </c>
      <c r="B258" s="6">
        <v>2</v>
      </c>
      <c r="C258" t="s">
        <v>9</v>
      </c>
      <c r="D258" t="s">
        <v>31</v>
      </c>
      <c r="F258" s="6"/>
      <c r="G258" s="4">
        <v>3</v>
      </c>
      <c r="H258" s="4">
        <v>5</v>
      </c>
      <c r="I258" s="4">
        <v>2</v>
      </c>
      <c r="J258" s="7">
        <f>IFERROR(Table1[[#This Row],[2pt FGM]]/Table1[[#This Row],[2pt FGatt]],0)</f>
        <v>0.4</v>
      </c>
      <c r="K258" s="4">
        <v>4</v>
      </c>
      <c r="L258" s="4">
        <v>4</v>
      </c>
      <c r="M258" s="4">
        <v>0</v>
      </c>
      <c r="N258" s="8">
        <f>IFERROR(Table1[[#This Row],[3 pts]]/Table1[[#This Row],[3pt att]],0)</f>
        <v>0</v>
      </c>
      <c r="O258" s="4">
        <v>8</v>
      </c>
      <c r="P258" s="4">
        <v>0</v>
      </c>
      <c r="Q258" s="4">
        <v>1</v>
      </c>
      <c r="R258" s="4">
        <v>2</v>
      </c>
    </row>
    <row r="259" spans="1:18" x14ac:dyDescent="0.2">
      <c r="A259" s="1">
        <v>46170</v>
      </c>
      <c r="B259" s="6">
        <v>2</v>
      </c>
      <c r="C259" t="s">
        <v>19</v>
      </c>
      <c r="D259" t="s">
        <v>31</v>
      </c>
      <c r="F259" s="6"/>
      <c r="G259" s="4">
        <v>3</v>
      </c>
      <c r="H259" s="4">
        <v>6</v>
      </c>
      <c r="I259" s="4">
        <v>3</v>
      </c>
      <c r="J259" s="7">
        <f>IFERROR(Table1[[#This Row],[2pt FGM]]/Table1[[#This Row],[2pt FGatt]],0)</f>
        <v>0.5</v>
      </c>
      <c r="K259" s="4">
        <v>9</v>
      </c>
      <c r="L259" s="4">
        <v>8</v>
      </c>
      <c r="M259" s="4">
        <v>1</v>
      </c>
      <c r="N259" s="8">
        <f>IFERROR(Table1[[#This Row],[3 pts]]/Table1[[#This Row],[3pt att]],0)</f>
        <v>0.125</v>
      </c>
      <c r="O259" s="4">
        <v>7</v>
      </c>
      <c r="P259" s="4">
        <v>2</v>
      </c>
      <c r="Q259" s="4">
        <v>1</v>
      </c>
      <c r="R259" s="4">
        <v>1</v>
      </c>
    </row>
    <row r="260" spans="1:18" x14ac:dyDescent="0.2">
      <c r="A260" s="1">
        <v>46198</v>
      </c>
      <c r="B260" s="6">
        <v>3</v>
      </c>
      <c r="C260" t="s">
        <v>18</v>
      </c>
      <c r="D260" t="s">
        <v>65</v>
      </c>
      <c r="F260" s="6">
        <v>1</v>
      </c>
      <c r="G260" s="4">
        <v>1</v>
      </c>
      <c r="H260" s="4">
        <v>4</v>
      </c>
      <c r="I260" s="4">
        <v>0</v>
      </c>
      <c r="J260" s="7">
        <f>IFERROR(Table1[[#This Row],[2pt FGM]]/Table1[[#This Row],[2pt FGatt]],0)</f>
        <v>0</v>
      </c>
      <c r="K260" s="4">
        <v>3</v>
      </c>
      <c r="L260" s="4">
        <v>6</v>
      </c>
      <c r="M260" s="4">
        <v>1</v>
      </c>
      <c r="N260" s="8">
        <f>IFERROR(Table1[[#This Row],[3 pts]]/Table1[[#This Row],[3pt att]],0)</f>
        <v>0.16666666666666666</v>
      </c>
      <c r="O260" s="4">
        <v>3</v>
      </c>
      <c r="P260" s="4">
        <v>1</v>
      </c>
      <c r="Q260" s="4">
        <v>1</v>
      </c>
      <c r="R260" s="4">
        <v>1</v>
      </c>
    </row>
    <row r="261" spans="1:18" x14ac:dyDescent="0.2">
      <c r="A261" s="1">
        <v>46198</v>
      </c>
      <c r="B261" s="6">
        <v>3</v>
      </c>
      <c r="C261" t="s">
        <v>11</v>
      </c>
      <c r="D261" t="s">
        <v>65</v>
      </c>
      <c r="F261" s="6">
        <v>1</v>
      </c>
      <c r="G261" s="4">
        <v>1</v>
      </c>
      <c r="H261" s="4">
        <v>3</v>
      </c>
      <c r="I261" s="4">
        <v>0</v>
      </c>
      <c r="J261" s="7">
        <f>IFERROR(Table1[[#This Row],[2pt FGM]]/Table1[[#This Row],[2pt FGatt]],0)</f>
        <v>0</v>
      </c>
      <c r="K261" s="4">
        <v>3</v>
      </c>
      <c r="L261" s="4">
        <v>5</v>
      </c>
      <c r="M261" s="4">
        <v>1</v>
      </c>
      <c r="N261" s="8">
        <f>IFERROR(Table1[[#This Row],[3 pts]]/Table1[[#This Row],[3pt att]],0)</f>
        <v>0.2</v>
      </c>
      <c r="O261" s="4">
        <v>5</v>
      </c>
      <c r="P261" s="4">
        <v>1</v>
      </c>
      <c r="Q261" s="4">
        <v>1</v>
      </c>
      <c r="R261" s="4">
        <v>0</v>
      </c>
    </row>
    <row r="262" spans="1:18" x14ac:dyDescent="0.2">
      <c r="A262" s="1">
        <v>46198</v>
      </c>
      <c r="B262" s="6">
        <v>3</v>
      </c>
      <c r="C262" t="s">
        <v>20</v>
      </c>
      <c r="D262" t="s">
        <v>65</v>
      </c>
      <c r="F262" s="6">
        <v>1</v>
      </c>
      <c r="G262" s="4">
        <v>1</v>
      </c>
      <c r="H262" s="4">
        <v>1</v>
      </c>
      <c r="I262" s="4">
        <v>0</v>
      </c>
      <c r="J262" s="7">
        <f>IFERROR(Table1[[#This Row],[2pt FGM]]/Table1[[#This Row],[2pt FGatt]],0)</f>
        <v>0</v>
      </c>
      <c r="K262" s="4">
        <v>0</v>
      </c>
      <c r="L262" s="4">
        <v>2</v>
      </c>
      <c r="M262" s="4">
        <v>0</v>
      </c>
      <c r="N262" s="8">
        <f>IFERROR(Table1[[#This Row],[3 pts]]/Table1[[#This Row],[3pt att]],0)</f>
        <v>0</v>
      </c>
      <c r="O262" s="4">
        <v>6</v>
      </c>
      <c r="P262" s="4">
        <v>0</v>
      </c>
      <c r="Q262" s="4">
        <v>1</v>
      </c>
      <c r="R262" s="4">
        <v>0</v>
      </c>
    </row>
    <row r="263" spans="1:18" x14ac:dyDescent="0.2">
      <c r="A263" s="1">
        <v>46198</v>
      </c>
      <c r="B263" s="6">
        <v>3</v>
      </c>
      <c r="C263" t="s">
        <v>7</v>
      </c>
      <c r="D263" t="s">
        <v>65</v>
      </c>
      <c r="F263" s="6">
        <v>1</v>
      </c>
      <c r="G263" s="4">
        <v>1</v>
      </c>
      <c r="H263" s="4">
        <v>5</v>
      </c>
      <c r="I263" s="4">
        <v>3</v>
      </c>
      <c r="J263" s="7">
        <f>IFERROR(Table1[[#This Row],[2pt FGM]]/Table1[[#This Row],[2pt FGatt]],0)</f>
        <v>0.6</v>
      </c>
      <c r="K263" s="4">
        <v>9</v>
      </c>
      <c r="L263" s="4">
        <v>5</v>
      </c>
      <c r="M263" s="4">
        <v>1</v>
      </c>
      <c r="N263" s="8">
        <f>IFERROR(Table1[[#This Row],[3 pts]]/Table1[[#This Row],[3pt att]],0)</f>
        <v>0.2</v>
      </c>
      <c r="O263" s="4">
        <v>11</v>
      </c>
      <c r="P263" s="4">
        <v>8</v>
      </c>
      <c r="Q263" s="4">
        <v>1</v>
      </c>
      <c r="R263" s="4">
        <v>0</v>
      </c>
    </row>
    <row r="264" spans="1:18" x14ac:dyDescent="0.2">
      <c r="A264" s="1">
        <v>46198</v>
      </c>
      <c r="B264" s="6">
        <v>3</v>
      </c>
      <c r="C264" t="s">
        <v>9</v>
      </c>
      <c r="D264" t="s">
        <v>66</v>
      </c>
      <c r="F264" s="6">
        <v>1</v>
      </c>
      <c r="G264" s="4">
        <v>1</v>
      </c>
      <c r="H264" s="4">
        <v>4</v>
      </c>
      <c r="I264" s="4">
        <v>1</v>
      </c>
      <c r="J264" s="7">
        <f>IFERROR(Table1[[#This Row],[2pt FGM]]/Table1[[#This Row],[2pt FGatt]],0)</f>
        <v>0.25</v>
      </c>
      <c r="K264" s="4">
        <v>2</v>
      </c>
      <c r="L264" s="4">
        <v>2</v>
      </c>
      <c r="M264" s="4">
        <v>0</v>
      </c>
      <c r="N264" s="8">
        <f>IFERROR(Table1[[#This Row],[3 pts]]/Table1[[#This Row],[3pt att]],0)</f>
        <v>0</v>
      </c>
      <c r="O264" s="4">
        <v>9</v>
      </c>
      <c r="P264" s="4">
        <v>2</v>
      </c>
      <c r="Q264" s="4">
        <v>2</v>
      </c>
      <c r="R264" s="4">
        <v>1</v>
      </c>
    </row>
    <row r="265" spans="1:18" x14ac:dyDescent="0.2">
      <c r="A265" s="1">
        <v>46198</v>
      </c>
      <c r="B265" s="6">
        <v>3</v>
      </c>
      <c r="C265" t="s">
        <v>17</v>
      </c>
      <c r="D265" t="s">
        <v>66</v>
      </c>
      <c r="F265" s="6">
        <v>1</v>
      </c>
      <c r="G265" s="4">
        <v>1</v>
      </c>
      <c r="H265" s="4">
        <v>4</v>
      </c>
      <c r="I265" s="4">
        <v>0</v>
      </c>
      <c r="J265" s="7">
        <f>IFERROR(Table1[[#This Row],[2pt FGM]]/Table1[[#This Row],[2pt FGatt]],0)</f>
        <v>0</v>
      </c>
      <c r="K265" s="4">
        <v>0</v>
      </c>
      <c r="L265" s="4">
        <v>4</v>
      </c>
      <c r="M265" s="4">
        <v>0</v>
      </c>
      <c r="N265" s="8">
        <f>IFERROR(Table1[[#This Row],[3 pts]]/Table1[[#This Row],[3pt att]],0)</f>
        <v>0</v>
      </c>
      <c r="O265" s="4">
        <v>3</v>
      </c>
      <c r="P265" s="4">
        <v>4</v>
      </c>
      <c r="Q265" s="4">
        <v>0</v>
      </c>
      <c r="R265" s="4">
        <v>0</v>
      </c>
    </row>
    <row r="266" spans="1:18" x14ac:dyDescent="0.2">
      <c r="A266" s="1">
        <v>46198</v>
      </c>
      <c r="B266" s="6">
        <v>3</v>
      </c>
      <c r="C266" t="s">
        <v>16</v>
      </c>
      <c r="D266" t="s">
        <v>66</v>
      </c>
      <c r="F266" s="6">
        <v>1</v>
      </c>
      <c r="G266" s="4">
        <v>1</v>
      </c>
      <c r="H266" s="4">
        <v>17</v>
      </c>
      <c r="I266" s="4">
        <v>5</v>
      </c>
      <c r="J266" s="7">
        <f>IFERROR(Table1[[#This Row],[2pt FGM]]/Table1[[#This Row],[2pt FGatt]],0)</f>
        <v>0.29411764705882354</v>
      </c>
      <c r="K266" s="4">
        <v>10</v>
      </c>
      <c r="L266" s="4">
        <v>0</v>
      </c>
      <c r="M266" s="4">
        <v>0</v>
      </c>
      <c r="N266" s="8">
        <f>IFERROR(Table1[[#This Row],[3 pts]]/Table1[[#This Row],[3pt att]],0)</f>
        <v>0</v>
      </c>
      <c r="O266" s="4">
        <v>13</v>
      </c>
      <c r="P266" s="4">
        <v>0</v>
      </c>
      <c r="Q266" s="4">
        <v>1</v>
      </c>
      <c r="R266" s="4">
        <v>1</v>
      </c>
    </row>
    <row r="267" spans="1:18" x14ac:dyDescent="0.2">
      <c r="A267" s="1">
        <v>46198</v>
      </c>
      <c r="B267" s="6">
        <v>3</v>
      </c>
      <c r="C267" t="s">
        <v>19</v>
      </c>
      <c r="D267" t="s">
        <v>66</v>
      </c>
      <c r="F267" s="6">
        <v>1</v>
      </c>
      <c r="G267" s="4">
        <v>1</v>
      </c>
      <c r="H267" s="4">
        <v>9</v>
      </c>
      <c r="I267" s="4">
        <v>1</v>
      </c>
      <c r="J267" s="7">
        <f>IFERROR(Table1[[#This Row],[2pt FGM]]/Table1[[#This Row],[2pt FGatt]],0)</f>
        <v>0.1111111111111111</v>
      </c>
      <c r="K267" s="4">
        <v>5</v>
      </c>
      <c r="L267" s="4">
        <v>5</v>
      </c>
      <c r="M267" s="4">
        <v>1</v>
      </c>
      <c r="N267" s="8">
        <f>IFERROR(Table1[[#This Row],[3 pts]]/Table1[[#This Row],[3pt att]],0)</f>
        <v>0.2</v>
      </c>
      <c r="O267" s="4">
        <v>7</v>
      </c>
      <c r="P267" s="4">
        <v>2</v>
      </c>
      <c r="Q267" s="4">
        <v>1</v>
      </c>
      <c r="R267" s="4">
        <v>0</v>
      </c>
    </row>
    <row r="268" spans="1:18" x14ac:dyDescent="0.2">
      <c r="A268" s="1">
        <v>46198</v>
      </c>
      <c r="B268" s="6">
        <v>3</v>
      </c>
      <c r="C268" t="s">
        <v>18</v>
      </c>
      <c r="D268" t="s">
        <v>65</v>
      </c>
      <c r="F268" s="6">
        <v>2</v>
      </c>
      <c r="G268" s="4">
        <v>1</v>
      </c>
      <c r="H268" s="4">
        <v>4</v>
      </c>
      <c r="I268" s="4">
        <v>1</v>
      </c>
      <c r="J268" s="7">
        <f>IFERROR(Table1[[#This Row],[2pt FGM]]/Table1[[#This Row],[2pt FGatt]],0)</f>
        <v>0.25</v>
      </c>
      <c r="K268" s="4">
        <v>5</v>
      </c>
      <c r="L268" s="4">
        <v>7</v>
      </c>
      <c r="M268" s="4">
        <v>1</v>
      </c>
      <c r="N268" s="8">
        <f>IFERROR(Table1[[#This Row],[3 pts]]/Table1[[#This Row],[3pt att]],0)</f>
        <v>0.14285714285714285</v>
      </c>
      <c r="O268" s="4">
        <v>0</v>
      </c>
      <c r="P268" s="4">
        <v>0</v>
      </c>
      <c r="Q268" s="4">
        <v>0</v>
      </c>
      <c r="R268" s="4">
        <v>0</v>
      </c>
    </row>
    <row r="269" spans="1:18" x14ac:dyDescent="0.2">
      <c r="A269" s="1">
        <v>46198</v>
      </c>
      <c r="B269" s="6">
        <v>3</v>
      </c>
      <c r="C269" t="s">
        <v>11</v>
      </c>
      <c r="D269" t="s">
        <v>65</v>
      </c>
      <c r="F269" s="6">
        <v>2</v>
      </c>
      <c r="G269" s="4">
        <v>1</v>
      </c>
      <c r="H269" s="4">
        <v>5</v>
      </c>
      <c r="I269" s="4">
        <v>0</v>
      </c>
      <c r="J269" s="7">
        <f>IFERROR(Table1[[#This Row],[2pt FGM]]/Table1[[#This Row],[2pt FGatt]],0)</f>
        <v>0</v>
      </c>
      <c r="K269" s="4">
        <v>0</v>
      </c>
      <c r="L269" s="4">
        <v>4</v>
      </c>
      <c r="M269" s="4">
        <v>0</v>
      </c>
      <c r="N269" s="8">
        <f>IFERROR(Table1[[#This Row],[3 pts]]/Table1[[#This Row],[3pt att]],0)</f>
        <v>0</v>
      </c>
      <c r="O269" s="4">
        <v>3</v>
      </c>
      <c r="P269" s="4">
        <v>2</v>
      </c>
      <c r="Q269" s="4">
        <v>2</v>
      </c>
      <c r="R269" s="4">
        <v>0</v>
      </c>
    </row>
    <row r="270" spans="1:18" x14ac:dyDescent="0.2">
      <c r="A270" s="1">
        <v>46198</v>
      </c>
      <c r="B270" s="6">
        <v>3</v>
      </c>
      <c r="C270" t="s">
        <v>20</v>
      </c>
      <c r="D270" t="s">
        <v>65</v>
      </c>
      <c r="F270" s="6">
        <v>2</v>
      </c>
      <c r="G270" s="4">
        <v>1</v>
      </c>
      <c r="H270" s="4">
        <v>4</v>
      </c>
      <c r="I270" s="4">
        <v>1</v>
      </c>
      <c r="J270" s="7">
        <f>IFERROR(Table1[[#This Row],[2pt FGM]]/Table1[[#This Row],[2pt FGatt]],0)</f>
        <v>0.25</v>
      </c>
      <c r="K270" s="4">
        <v>2</v>
      </c>
      <c r="L270" s="4">
        <v>0</v>
      </c>
      <c r="M270" s="4">
        <v>0</v>
      </c>
      <c r="N270" s="8">
        <f>IFERROR(Table1[[#This Row],[3 pts]]/Table1[[#This Row],[3pt att]],0)</f>
        <v>0</v>
      </c>
      <c r="O270" s="4">
        <v>6</v>
      </c>
      <c r="P270" s="4">
        <v>1</v>
      </c>
      <c r="Q270" s="4">
        <v>2</v>
      </c>
      <c r="R270" s="4">
        <v>0</v>
      </c>
    </row>
    <row r="271" spans="1:18" x14ac:dyDescent="0.2">
      <c r="A271" s="1">
        <v>46198</v>
      </c>
      <c r="B271" s="6">
        <v>3</v>
      </c>
      <c r="C271" t="s">
        <v>7</v>
      </c>
      <c r="D271" t="s">
        <v>65</v>
      </c>
      <c r="F271" s="6">
        <v>2</v>
      </c>
      <c r="G271" s="4">
        <v>1</v>
      </c>
      <c r="H271" s="4">
        <v>7</v>
      </c>
      <c r="I271" s="4">
        <v>3</v>
      </c>
      <c r="J271" s="7">
        <f>IFERROR(Table1[[#This Row],[2pt FGM]]/Table1[[#This Row],[2pt FGatt]],0)</f>
        <v>0.42857142857142855</v>
      </c>
      <c r="K271" s="4">
        <v>6</v>
      </c>
      <c r="L271" s="4">
        <v>5</v>
      </c>
      <c r="M271" s="4">
        <v>0</v>
      </c>
      <c r="N271" s="8">
        <f>IFERROR(Table1[[#This Row],[3 pts]]/Table1[[#This Row],[3pt att]],0)</f>
        <v>0</v>
      </c>
      <c r="O271" s="4">
        <v>15</v>
      </c>
      <c r="P271" s="4">
        <v>3</v>
      </c>
      <c r="Q271" s="4">
        <v>0</v>
      </c>
      <c r="R271" s="4">
        <v>0</v>
      </c>
    </row>
    <row r="272" spans="1:18" x14ac:dyDescent="0.2">
      <c r="A272" s="1">
        <v>46198</v>
      </c>
      <c r="B272" s="6">
        <v>3</v>
      </c>
      <c r="C272" t="s">
        <v>9</v>
      </c>
      <c r="D272" t="s">
        <v>66</v>
      </c>
      <c r="F272" s="6">
        <v>2</v>
      </c>
      <c r="G272" s="4">
        <v>1</v>
      </c>
      <c r="H272" s="4">
        <v>4</v>
      </c>
      <c r="I272" s="4">
        <v>2</v>
      </c>
      <c r="J272" s="7">
        <f>IFERROR(Table1[[#This Row],[2pt FGM]]/Table1[[#This Row],[2pt FGatt]],0)</f>
        <v>0.5</v>
      </c>
      <c r="K272" s="4">
        <v>10</v>
      </c>
      <c r="L272" s="4">
        <v>4</v>
      </c>
      <c r="M272" s="4">
        <v>2</v>
      </c>
      <c r="N272" s="8">
        <f>IFERROR(Table1[[#This Row],[3 pts]]/Table1[[#This Row],[3pt att]],0)</f>
        <v>0.5</v>
      </c>
      <c r="O272" s="4">
        <v>2</v>
      </c>
      <c r="P272" s="4">
        <v>1</v>
      </c>
      <c r="Q272" s="4">
        <v>4</v>
      </c>
      <c r="R272" s="4">
        <v>0</v>
      </c>
    </row>
    <row r="273" spans="1:18" x14ac:dyDescent="0.2">
      <c r="A273" s="1">
        <v>46198</v>
      </c>
      <c r="B273" s="6">
        <v>3</v>
      </c>
      <c r="C273" t="s">
        <v>17</v>
      </c>
      <c r="D273" t="s">
        <v>66</v>
      </c>
      <c r="F273" s="6">
        <v>2</v>
      </c>
      <c r="G273" s="4">
        <v>1</v>
      </c>
      <c r="H273" s="4">
        <v>4</v>
      </c>
      <c r="I273" s="4">
        <v>2</v>
      </c>
      <c r="J273" s="7">
        <f>IFERROR(Table1[[#This Row],[2pt FGM]]/Table1[[#This Row],[2pt FGatt]],0)</f>
        <v>0.5</v>
      </c>
      <c r="K273" s="4">
        <v>4</v>
      </c>
      <c r="L273" s="4">
        <v>4</v>
      </c>
      <c r="M273" s="4">
        <v>0</v>
      </c>
      <c r="N273" s="8">
        <f>IFERROR(Table1[[#This Row],[3 pts]]/Table1[[#This Row],[3pt att]],0)</f>
        <v>0</v>
      </c>
      <c r="O273" s="4">
        <v>2</v>
      </c>
      <c r="P273" s="4">
        <v>4</v>
      </c>
      <c r="Q273" s="4">
        <v>1</v>
      </c>
      <c r="R273" s="4">
        <v>0</v>
      </c>
    </row>
    <row r="274" spans="1:18" x14ac:dyDescent="0.2">
      <c r="A274" s="1">
        <v>46198</v>
      </c>
      <c r="B274" s="6">
        <v>3</v>
      </c>
      <c r="C274" t="s">
        <v>16</v>
      </c>
      <c r="D274" t="s">
        <v>66</v>
      </c>
      <c r="F274" s="6">
        <v>2</v>
      </c>
      <c r="G274" s="4">
        <v>1</v>
      </c>
      <c r="H274" s="4">
        <v>5</v>
      </c>
      <c r="I274" s="4">
        <v>2</v>
      </c>
      <c r="J274" s="7">
        <f>IFERROR(Table1[[#This Row],[2pt FGM]]/Table1[[#This Row],[2pt FGatt]],0)</f>
        <v>0.4</v>
      </c>
      <c r="K274" s="4">
        <v>4</v>
      </c>
      <c r="L274" s="4">
        <v>1</v>
      </c>
      <c r="M274" s="4">
        <v>0</v>
      </c>
      <c r="N274" s="8">
        <f>IFERROR(Table1[[#This Row],[3 pts]]/Table1[[#This Row],[3pt att]],0)</f>
        <v>0</v>
      </c>
      <c r="O274" s="4">
        <v>9</v>
      </c>
      <c r="P274" s="4">
        <v>0</v>
      </c>
      <c r="Q274" s="4">
        <v>2</v>
      </c>
      <c r="R274" s="4">
        <v>1</v>
      </c>
    </row>
    <row r="275" spans="1:18" x14ac:dyDescent="0.2">
      <c r="A275" s="1">
        <v>46198</v>
      </c>
      <c r="B275" s="6">
        <v>3</v>
      </c>
      <c r="C275" t="s">
        <v>19</v>
      </c>
      <c r="D275" t="s">
        <v>66</v>
      </c>
      <c r="F275" s="6">
        <v>2</v>
      </c>
      <c r="G275" s="4">
        <v>1</v>
      </c>
      <c r="H275" s="4">
        <v>6</v>
      </c>
      <c r="I275" s="4">
        <v>4</v>
      </c>
      <c r="J275" s="7">
        <f>IFERROR(Table1[[#This Row],[2pt FGM]]/Table1[[#This Row],[2pt FGatt]],0)</f>
        <v>0.66666666666666663</v>
      </c>
      <c r="K275" s="4">
        <v>5</v>
      </c>
      <c r="L275" s="4">
        <v>3</v>
      </c>
      <c r="M275" s="4">
        <v>0</v>
      </c>
      <c r="N275" s="8">
        <f>IFERROR(Table1[[#This Row],[3 pts]]/Table1[[#This Row],[3pt att]],0)</f>
        <v>0</v>
      </c>
      <c r="O275" s="4">
        <v>3</v>
      </c>
      <c r="P275" s="4">
        <v>2</v>
      </c>
      <c r="Q275" s="4">
        <v>2</v>
      </c>
      <c r="R275" s="4">
        <v>0</v>
      </c>
    </row>
    <row r="276" spans="1:18" x14ac:dyDescent="0.2">
      <c r="A276" s="1">
        <v>46198</v>
      </c>
      <c r="B276" s="6">
        <v>3</v>
      </c>
      <c r="C276" t="s">
        <v>18</v>
      </c>
      <c r="D276" t="s">
        <v>65</v>
      </c>
      <c r="F276" s="6">
        <v>3</v>
      </c>
      <c r="G276" s="4">
        <v>1</v>
      </c>
      <c r="H276" s="4">
        <v>5</v>
      </c>
      <c r="I276" s="4">
        <v>1</v>
      </c>
      <c r="J276" s="7">
        <f>IFERROR(Table1[[#This Row],[2pt FGM]]/Table1[[#This Row],[2pt FGatt]],0)</f>
        <v>0.2</v>
      </c>
      <c r="K276" s="4">
        <v>2</v>
      </c>
      <c r="L276" s="4">
        <v>5</v>
      </c>
      <c r="M276" s="4">
        <v>0</v>
      </c>
      <c r="N276" s="8">
        <f>IFERROR(Table1[[#This Row],[3 pts]]/Table1[[#This Row],[3pt att]],0)</f>
        <v>0</v>
      </c>
      <c r="O276" s="4">
        <v>2</v>
      </c>
      <c r="P276" s="4">
        <v>2</v>
      </c>
      <c r="Q276" s="4">
        <v>1</v>
      </c>
      <c r="R276" s="4">
        <v>0</v>
      </c>
    </row>
    <row r="277" spans="1:18" x14ac:dyDescent="0.2">
      <c r="A277" s="1">
        <v>46198</v>
      </c>
      <c r="B277" s="6">
        <v>3</v>
      </c>
      <c r="C277" t="s">
        <v>11</v>
      </c>
      <c r="D277" t="s">
        <v>65</v>
      </c>
      <c r="F277" s="6">
        <v>3</v>
      </c>
      <c r="G277" s="4">
        <v>1</v>
      </c>
      <c r="H277" s="4">
        <v>4</v>
      </c>
      <c r="I277" s="4">
        <v>2</v>
      </c>
      <c r="J277" s="7">
        <f>IFERROR(Table1[[#This Row],[2pt FGM]]/Table1[[#This Row],[2pt FGatt]],0)</f>
        <v>0.5</v>
      </c>
      <c r="K277" s="4">
        <v>4</v>
      </c>
      <c r="L277" s="4">
        <v>1</v>
      </c>
      <c r="M277" s="4">
        <v>0</v>
      </c>
      <c r="N277" s="8">
        <f>IFERROR(Table1[[#This Row],[3 pts]]/Table1[[#This Row],[3pt att]],0)</f>
        <v>0</v>
      </c>
      <c r="O277" s="4">
        <v>5</v>
      </c>
      <c r="P277" s="4">
        <v>3</v>
      </c>
      <c r="Q277" s="4">
        <v>4</v>
      </c>
      <c r="R277" s="4">
        <v>0</v>
      </c>
    </row>
    <row r="278" spans="1:18" x14ac:dyDescent="0.2">
      <c r="A278" s="1">
        <v>46198</v>
      </c>
      <c r="B278" s="6">
        <v>3</v>
      </c>
      <c r="C278" t="s">
        <v>20</v>
      </c>
      <c r="D278" t="s">
        <v>65</v>
      </c>
      <c r="F278" s="6">
        <v>3</v>
      </c>
      <c r="G278" s="4">
        <v>1</v>
      </c>
      <c r="H278" s="4">
        <v>2</v>
      </c>
      <c r="I278" s="4">
        <v>1</v>
      </c>
      <c r="J278" s="7">
        <f>IFERROR(Table1[[#This Row],[2pt FGM]]/Table1[[#This Row],[2pt FGatt]],0)</f>
        <v>0.5</v>
      </c>
      <c r="K278" s="4">
        <v>2</v>
      </c>
      <c r="L278" s="4">
        <v>0</v>
      </c>
      <c r="M278" s="4">
        <v>0</v>
      </c>
      <c r="N278" s="8">
        <f>IFERROR(Table1[[#This Row],[3 pts]]/Table1[[#This Row],[3pt att]],0)</f>
        <v>0</v>
      </c>
      <c r="O278" s="4">
        <v>3</v>
      </c>
      <c r="P278" s="4">
        <v>0</v>
      </c>
      <c r="Q278" s="4">
        <v>4</v>
      </c>
      <c r="R278" s="4">
        <v>0</v>
      </c>
    </row>
    <row r="279" spans="1:18" x14ac:dyDescent="0.2">
      <c r="A279" s="1">
        <v>46198</v>
      </c>
      <c r="B279" s="6">
        <v>3</v>
      </c>
      <c r="C279" t="s">
        <v>7</v>
      </c>
      <c r="D279" t="s">
        <v>65</v>
      </c>
      <c r="F279" s="6">
        <v>3</v>
      </c>
      <c r="G279" s="4">
        <v>1</v>
      </c>
      <c r="H279" s="4">
        <v>9</v>
      </c>
      <c r="I279" s="4">
        <v>6</v>
      </c>
      <c r="J279" s="7">
        <f>IFERROR(Table1[[#This Row],[2pt FGM]]/Table1[[#This Row],[2pt FGatt]],0)</f>
        <v>0.66666666666666663</v>
      </c>
      <c r="K279" s="4">
        <v>12</v>
      </c>
      <c r="L279" s="4">
        <v>2</v>
      </c>
      <c r="M279" s="4">
        <v>0</v>
      </c>
      <c r="N279" s="8">
        <f>IFERROR(Table1[[#This Row],[3 pts]]/Table1[[#This Row],[3pt att]],0)</f>
        <v>0</v>
      </c>
      <c r="O279" s="4">
        <v>8</v>
      </c>
      <c r="P279" s="4">
        <v>2</v>
      </c>
      <c r="Q279" s="4">
        <v>0</v>
      </c>
      <c r="R279" s="4">
        <v>0</v>
      </c>
    </row>
    <row r="280" spans="1:18" x14ac:dyDescent="0.2">
      <c r="A280" s="1">
        <v>46198</v>
      </c>
      <c r="B280" s="6">
        <v>3</v>
      </c>
      <c r="C280" t="s">
        <v>9</v>
      </c>
      <c r="D280" t="s">
        <v>66</v>
      </c>
      <c r="F280" s="6">
        <v>3</v>
      </c>
      <c r="G280" s="4">
        <v>1</v>
      </c>
      <c r="H280" s="4">
        <v>0</v>
      </c>
      <c r="I280" s="4">
        <v>0</v>
      </c>
      <c r="J280" s="7">
        <f>IFERROR(Table1[[#This Row],[2pt FGM]]/Table1[[#This Row],[2pt FGatt]],0)</f>
        <v>0</v>
      </c>
      <c r="K280" s="4">
        <v>9</v>
      </c>
      <c r="L280" s="4">
        <v>5</v>
      </c>
      <c r="M280" s="4">
        <v>3</v>
      </c>
      <c r="N280" s="8">
        <f>IFERROR(Table1[[#This Row],[3 pts]]/Table1[[#This Row],[3pt att]],0)</f>
        <v>0.6</v>
      </c>
      <c r="O280" s="4">
        <v>1</v>
      </c>
      <c r="P280" s="4">
        <v>0</v>
      </c>
      <c r="Q280" s="4">
        <v>1</v>
      </c>
      <c r="R280" s="4">
        <v>0</v>
      </c>
    </row>
    <row r="281" spans="1:18" x14ac:dyDescent="0.2">
      <c r="A281" s="1">
        <v>46198</v>
      </c>
      <c r="B281" s="6">
        <v>3</v>
      </c>
      <c r="C281" t="s">
        <v>17</v>
      </c>
      <c r="D281" t="s">
        <v>66</v>
      </c>
      <c r="F281" s="6">
        <v>3</v>
      </c>
      <c r="G281" s="4">
        <v>1</v>
      </c>
      <c r="H281" s="4">
        <v>9</v>
      </c>
      <c r="I281" s="4">
        <v>1</v>
      </c>
      <c r="J281" s="7">
        <f>IFERROR(Table1[[#This Row],[2pt FGM]]/Table1[[#This Row],[2pt FGatt]],0)</f>
        <v>0.1111111111111111</v>
      </c>
      <c r="K281" s="4">
        <v>2</v>
      </c>
      <c r="L281" s="4">
        <v>0</v>
      </c>
      <c r="M281" s="4">
        <v>0</v>
      </c>
      <c r="N281" s="8">
        <f>IFERROR(Table1[[#This Row],[3 pts]]/Table1[[#This Row],[3pt att]],0)</f>
        <v>0</v>
      </c>
      <c r="O281" s="4">
        <v>1</v>
      </c>
      <c r="P281" s="4">
        <v>1</v>
      </c>
      <c r="Q281" s="4">
        <v>1</v>
      </c>
      <c r="R281" s="4">
        <v>0</v>
      </c>
    </row>
    <row r="282" spans="1:18" x14ac:dyDescent="0.2">
      <c r="A282" s="1">
        <v>46198</v>
      </c>
      <c r="B282" s="6">
        <v>3</v>
      </c>
      <c r="C282" t="s">
        <v>16</v>
      </c>
      <c r="D282" t="s">
        <v>66</v>
      </c>
      <c r="F282" s="6">
        <v>3</v>
      </c>
      <c r="G282" s="4">
        <v>1</v>
      </c>
      <c r="H282" s="4">
        <v>2</v>
      </c>
      <c r="I282" s="4">
        <v>2</v>
      </c>
      <c r="J282" s="7">
        <f>IFERROR(Table1[[#This Row],[2pt FGM]]/Table1[[#This Row],[2pt FGatt]],0)</f>
        <v>1</v>
      </c>
      <c r="K282" s="4">
        <v>4</v>
      </c>
      <c r="L282" s="4">
        <v>1</v>
      </c>
      <c r="M282" s="4">
        <v>0</v>
      </c>
      <c r="N282" s="8">
        <f>IFERROR(Table1[[#This Row],[3 pts]]/Table1[[#This Row],[3pt att]],0)</f>
        <v>0</v>
      </c>
      <c r="O282" s="4">
        <v>4</v>
      </c>
      <c r="P282" s="4">
        <v>0</v>
      </c>
      <c r="Q282" s="4">
        <v>0</v>
      </c>
      <c r="R282" s="4">
        <v>1</v>
      </c>
    </row>
    <row r="283" spans="1:18" x14ac:dyDescent="0.2">
      <c r="A283" s="1">
        <v>46198</v>
      </c>
      <c r="B283" s="6">
        <v>3</v>
      </c>
      <c r="C283" t="s">
        <v>19</v>
      </c>
      <c r="D283" t="s">
        <v>66</v>
      </c>
      <c r="F283" s="6">
        <v>3</v>
      </c>
      <c r="G283" s="4">
        <v>1</v>
      </c>
      <c r="H283" s="4">
        <v>4</v>
      </c>
      <c r="I283" s="4">
        <v>2</v>
      </c>
      <c r="J283" s="7">
        <f>IFERROR(Table1[[#This Row],[2pt FGM]]/Table1[[#This Row],[2pt FGatt]],0)</f>
        <v>0.5</v>
      </c>
      <c r="K283" s="4">
        <v>4</v>
      </c>
      <c r="L283" s="4">
        <v>1</v>
      </c>
      <c r="M283" s="4">
        <v>0</v>
      </c>
      <c r="N283" s="8">
        <f>IFERROR(Table1[[#This Row],[3 pts]]/Table1[[#This Row],[3pt att]],0)</f>
        <v>0</v>
      </c>
      <c r="O283" s="4">
        <v>5</v>
      </c>
      <c r="P283" s="4">
        <v>4</v>
      </c>
      <c r="Q283" s="4">
        <v>4</v>
      </c>
      <c r="R283" s="4">
        <v>0</v>
      </c>
    </row>
    <row r="284" spans="1:18" x14ac:dyDescent="0.2">
      <c r="A284" s="1">
        <v>46198</v>
      </c>
      <c r="B284" s="6">
        <v>3</v>
      </c>
      <c r="C284" t="s">
        <v>18</v>
      </c>
      <c r="D284" t="s">
        <v>65</v>
      </c>
      <c r="F284" s="6">
        <v>4</v>
      </c>
      <c r="G284" s="4">
        <v>1</v>
      </c>
      <c r="H284" s="4">
        <v>3</v>
      </c>
      <c r="I284" s="4">
        <v>0</v>
      </c>
      <c r="J284" s="7">
        <f>IFERROR(Table1[[#This Row],[2pt FGM]]/Table1[[#This Row],[2pt FGatt]],0)</f>
        <v>0</v>
      </c>
      <c r="K284" s="4">
        <v>3</v>
      </c>
      <c r="L284" s="4">
        <v>10</v>
      </c>
      <c r="M284" s="4">
        <v>1</v>
      </c>
      <c r="N284" s="8">
        <f>IFERROR(Table1[[#This Row],[3 pts]]/Table1[[#This Row],[3pt att]],0)</f>
        <v>0.1</v>
      </c>
      <c r="O284" s="4">
        <v>2</v>
      </c>
      <c r="P284" s="4">
        <v>4</v>
      </c>
      <c r="Q284" s="4">
        <v>0</v>
      </c>
      <c r="R284" s="4">
        <v>0</v>
      </c>
    </row>
    <row r="285" spans="1:18" x14ac:dyDescent="0.2">
      <c r="A285" s="1">
        <v>46198</v>
      </c>
      <c r="B285" s="6">
        <v>3</v>
      </c>
      <c r="C285" t="s">
        <v>11</v>
      </c>
      <c r="D285" t="s">
        <v>65</v>
      </c>
      <c r="F285" s="6">
        <v>4</v>
      </c>
      <c r="G285" s="4">
        <v>1</v>
      </c>
      <c r="H285" s="4">
        <v>2</v>
      </c>
      <c r="I285" s="4">
        <v>0</v>
      </c>
      <c r="J285" s="7">
        <f>IFERROR(Table1[[#This Row],[2pt FGM]]/Table1[[#This Row],[2pt FGatt]],0)</f>
        <v>0</v>
      </c>
      <c r="K285" s="4">
        <v>0</v>
      </c>
      <c r="L285" s="4">
        <v>0</v>
      </c>
      <c r="M285" s="4">
        <v>0</v>
      </c>
      <c r="N285" s="8">
        <f>IFERROR(Table1[[#This Row],[3 pts]]/Table1[[#This Row],[3pt att]],0)</f>
        <v>0</v>
      </c>
      <c r="O285" s="4">
        <v>1</v>
      </c>
      <c r="P285" s="4">
        <v>2</v>
      </c>
      <c r="Q285" s="4">
        <v>4</v>
      </c>
      <c r="R285" s="4">
        <v>0</v>
      </c>
    </row>
    <row r="286" spans="1:18" x14ac:dyDescent="0.2">
      <c r="A286" s="1">
        <v>46198</v>
      </c>
      <c r="B286" s="6">
        <v>3</v>
      </c>
      <c r="C286" t="s">
        <v>20</v>
      </c>
      <c r="D286" t="s">
        <v>65</v>
      </c>
      <c r="F286" s="6">
        <v>4</v>
      </c>
      <c r="G286" s="4">
        <v>1</v>
      </c>
      <c r="H286" s="4">
        <v>8</v>
      </c>
      <c r="I286" s="4">
        <v>4</v>
      </c>
      <c r="J286" s="7">
        <f>IFERROR(Table1[[#This Row],[2pt FGM]]/Table1[[#This Row],[2pt FGatt]],0)</f>
        <v>0.5</v>
      </c>
      <c r="K286" s="4">
        <v>8</v>
      </c>
      <c r="L286" s="4">
        <v>0</v>
      </c>
      <c r="M286" s="4">
        <v>0</v>
      </c>
      <c r="N286" s="8">
        <f>IFERROR(Table1[[#This Row],[3 pts]]/Table1[[#This Row],[3pt att]],0)</f>
        <v>0</v>
      </c>
      <c r="O286" s="4">
        <v>5</v>
      </c>
      <c r="P286" s="4">
        <v>1</v>
      </c>
      <c r="Q286" s="4">
        <v>2</v>
      </c>
      <c r="R286" s="4">
        <v>0</v>
      </c>
    </row>
    <row r="287" spans="1:18" x14ac:dyDescent="0.2">
      <c r="A287" s="1">
        <v>46198</v>
      </c>
      <c r="B287" s="6">
        <v>3</v>
      </c>
      <c r="C287" t="s">
        <v>7</v>
      </c>
      <c r="D287" t="s">
        <v>65</v>
      </c>
      <c r="F287" s="6">
        <v>4</v>
      </c>
      <c r="G287" s="4">
        <v>1</v>
      </c>
      <c r="H287" s="4">
        <v>7</v>
      </c>
      <c r="I287" s="4">
        <v>3</v>
      </c>
      <c r="J287" s="7">
        <f>IFERROR(Table1[[#This Row],[2pt FGM]]/Table1[[#This Row],[2pt FGatt]],0)</f>
        <v>0.42857142857142855</v>
      </c>
      <c r="K287" s="4">
        <v>6</v>
      </c>
      <c r="L287" s="4">
        <v>2</v>
      </c>
      <c r="M287" s="4">
        <v>0</v>
      </c>
      <c r="N287" s="8">
        <f>IFERROR(Table1[[#This Row],[3 pts]]/Table1[[#This Row],[3pt att]],0)</f>
        <v>0</v>
      </c>
      <c r="O287" s="4">
        <v>10</v>
      </c>
      <c r="P287" s="4">
        <v>2</v>
      </c>
      <c r="Q287" s="4">
        <v>1</v>
      </c>
      <c r="R287" s="4">
        <v>0</v>
      </c>
    </row>
    <row r="288" spans="1:18" x14ac:dyDescent="0.2">
      <c r="A288" s="1">
        <v>46198</v>
      </c>
      <c r="B288" s="6">
        <v>3</v>
      </c>
      <c r="C288" t="s">
        <v>9</v>
      </c>
      <c r="D288" t="s">
        <v>66</v>
      </c>
      <c r="F288" s="6">
        <v>4</v>
      </c>
      <c r="G288" s="4">
        <v>1</v>
      </c>
      <c r="H288" s="4">
        <v>5</v>
      </c>
      <c r="I288" s="4">
        <v>3</v>
      </c>
      <c r="J288" s="7">
        <f>IFERROR(Table1[[#This Row],[2pt FGM]]/Table1[[#This Row],[2pt FGatt]],0)</f>
        <v>0.6</v>
      </c>
      <c r="K288" s="4">
        <v>6</v>
      </c>
      <c r="L288" s="4">
        <v>2</v>
      </c>
      <c r="M288" s="4">
        <v>0</v>
      </c>
      <c r="N288" s="8">
        <f>IFERROR(Table1[[#This Row],[3 pts]]/Table1[[#This Row],[3pt att]],0)</f>
        <v>0</v>
      </c>
      <c r="O288" s="4">
        <v>2</v>
      </c>
      <c r="P288" s="4">
        <v>2</v>
      </c>
      <c r="Q288" s="4">
        <v>0</v>
      </c>
      <c r="R288" s="4">
        <v>2</v>
      </c>
    </row>
    <row r="289" spans="1:18" x14ac:dyDescent="0.2">
      <c r="A289" s="1">
        <v>46198</v>
      </c>
      <c r="B289" s="6">
        <v>3</v>
      </c>
      <c r="C289" t="s">
        <v>17</v>
      </c>
      <c r="D289" t="s">
        <v>66</v>
      </c>
      <c r="F289" s="6">
        <v>4</v>
      </c>
      <c r="G289" s="4">
        <v>1</v>
      </c>
      <c r="H289" s="4">
        <v>3</v>
      </c>
      <c r="I289" s="4">
        <v>0</v>
      </c>
      <c r="J289" s="7">
        <f>IFERROR(Table1[[#This Row],[2pt FGM]]/Table1[[#This Row],[2pt FGatt]],0)</f>
        <v>0</v>
      </c>
      <c r="K289" s="4">
        <v>0</v>
      </c>
      <c r="L289" s="4">
        <v>5</v>
      </c>
      <c r="M289" s="4">
        <v>0</v>
      </c>
      <c r="N289" s="8">
        <f>IFERROR(Table1[[#This Row],[3 pts]]/Table1[[#This Row],[3pt att]],0)</f>
        <v>0</v>
      </c>
      <c r="O289" s="4">
        <v>2</v>
      </c>
      <c r="P289" s="4">
        <v>0</v>
      </c>
      <c r="Q289" s="4">
        <v>1</v>
      </c>
      <c r="R289" s="4">
        <v>0</v>
      </c>
    </row>
    <row r="290" spans="1:18" x14ac:dyDescent="0.2">
      <c r="A290" s="1">
        <v>46198</v>
      </c>
      <c r="B290" s="6">
        <v>3</v>
      </c>
      <c r="C290" t="s">
        <v>16</v>
      </c>
      <c r="D290" t="s">
        <v>66</v>
      </c>
      <c r="F290" s="6">
        <v>4</v>
      </c>
      <c r="G290" s="4">
        <v>1</v>
      </c>
      <c r="H290" s="4">
        <v>3</v>
      </c>
      <c r="I290" s="4">
        <v>1</v>
      </c>
      <c r="J290" s="7">
        <f>IFERROR(Table1[[#This Row],[2pt FGM]]/Table1[[#This Row],[2pt FGatt]],0)</f>
        <v>0.33333333333333331</v>
      </c>
      <c r="K290" s="4">
        <v>2</v>
      </c>
      <c r="L290" s="4">
        <v>0</v>
      </c>
      <c r="M290" s="4">
        <v>0</v>
      </c>
      <c r="N290" s="8">
        <f>IFERROR(Table1[[#This Row],[3 pts]]/Table1[[#This Row],[3pt att]],0)</f>
        <v>0</v>
      </c>
      <c r="O290" s="4">
        <v>6</v>
      </c>
      <c r="P290" s="4">
        <v>0</v>
      </c>
      <c r="Q290" s="4">
        <v>1</v>
      </c>
      <c r="R290" s="4">
        <v>1</v>
      </c>
    </row>
    <row r="291" spans="1:18" x14ac:dyDescent="0.2">
      <c r="A291" s="1">
        <v>46198</v>
      </c>
      <c r="B291" s="6">
        <v>3</v>
      </c>
      <c r="C291" t="s">
        <v>19</v>
      </c>
      <c r="D291" t="s">
        <v>66</v>
      </c>
      <c r="F291" s="6">
        <v>4</v>
      </c>
      <c r="G291" s="4">
        <v>1</v>
      </c>
      <c r="H291" s="4">
        <v>4</v>
      </c>
      <c r="I291" s="4">
        <v>3</v>
      </c>
      <c r="J291" s="7">
        <f>IFERROR(Table1[[#This Row],[2pt FGM]]/Table1[[#This Row],[2pt FGatt]],0)</f>
        <v>0.75</v>
      </c>
      <c r="K291" s="4">
        <v>6</v>
      </c>
      <c r="L291" s="4">
        <v>3</v>
      </c>
      <c r="M291" s="4">
        <v>0</v>
      </c>
      <c r="N291" s="8">
        <f>IFERROR(Table1[[#This Row],[3 pts]]/Table1[[#This Row],[3pt att]],0)</f>
        <v>0</v>
      </c>
      <c r="O291" s="4">
        <v>5</v>
      </c>
      <c r="P291" s="4">
        <v>4</v>
      </c>
      <c r="Q291" s="4">
        <v>2</v>
      </c>
      <c r="R291" s="4">
        <v>0</v>
      </c>
    </row>
    <row r="292" spans="1:18" x14ac:dyDescent="0.2">
      <c r="A292" s="1">
        <v>46212</v>
      </c>
      <c r="B292" s="6">
        <v>3</v>
      </c>
      <c r="C292" t="s">
        <v>18</v>
      </c>
      <c r="D292" t="s">
        <v>65</v>
      </c>
      <c r="F292" s="6">
        <v>1</v>
      </c>
      <c r="G292" s="4">
        <v>2</v>
      </c>
      <c r="H292" s="4">
        <v>1</v>
      </c>
      <c r="I292" s="4">
        <v>0</v>
      </c>
      <c r="J292" s="7">
        <f>IFERROR(Table1[[#This Row],[2pt FGM]]/Table1[[#This Row],[2pt FGatt]],0)</f>
        <v>0</v>
      </c>
      <c r="K292" s="4">
        <v>6</v>
      </c>
      <c r="L292" s="4">
        <v>7</v>
      </c>
      <c r="M292" s="4">
        <v>2</v>
      </c>
      <c r="N292" s="8">
        <f>IFERROR(Table1[[#This Row],[3 pts]]/Table1[[#This Row],[3pt att]],0)</f>
        <v>0.2857142857142857</v>
      </c>
      <c r="O292" s="4">
        <v>2</v>
      </c>
      <c r="P292" s="4">
        <v>2</v>
      </c>
      <c r="Q292" s="4">
        <v>2</v>
      </c>
      <c r="R292" s="4">
        <v>0</v>
      </c>
    </row>
    <row r="293" spans="1:18" x14ac:dyDescent="0.2">
      <c r="A293" s="1">
        <v>46212</v>
      </c>
      <c r="B293" s="6">
        <v>3</v>
      </c>
      <c r="C293" t="s">
        <v>11</v>
      </c>
      <c r="D293" t="s">
        <v>65</v>
      </c>
      <c r="F293" s="6">
        <v>1</v>
      </c>
      <c r="G293" s="4">
        <v>2</v>
      </c>
      <c r="H293" s="4">
        <v>4</v>
      </c>
      <c r="I293" s="4">
        <v>2</v>
      </c>
      <c r="J293" s="7">
        <f>IFERROR(Table1[[#This Row],[2pt FGM]]/Table1[[#This Row],[2pt FGatt]],0)</f>
        <v>0.5</v>
      </c>
      <c r="K293" s="4">
        <v>4</v>
      </c>
      <c r="L293" s="4">
        <v>3</v>
      </c>
      <c r="M293" s="4">
        <v>0</v>
      </c>
      <c r="N293" s="8">
        <f>IFERROR(Table1[[#This Row],[3 pts]]/Table1[[#This Row],[3pt att]],0)</f>
        <v>0</v>
      </c>
      <c r="O293" s="4">
        <v>4</v>
      </c>
      <c r="P293" s="4">
        <v>3</v>
      </c>
      <c r="Q293" s="4">
        <v>2</v>
      </c>
      <c r="R293" s="4">
        <v>0</v>
      </c>
    </row>
    <row r="294" spans="1:18" x14ac:dyDescent="0.2">
      <c r="A294" s="1">
        <v>46212</v>
      </c>
      <c r="B294" s="6">
        <v>3</v>
      </c>
      <c r="C294" t="s">
        <v>7</v>
      </c>
      <c r="D294" t="s">
        <v>65</v>
      </c>
      <c r="F294" s="6">
        <v>1</v>
      </c>
      <c r="G294" s="4">
        <v>2</v>
      </c>
      <c r="H294" s="4">
        <v>7</v>
      </c>
      <c r="I294" s="4">
        <v>3</v>
      </c>
      <c r="J294" s="7">
        <f>IFERROR(Table1[[#This Row],[2pt FGM]]/Table1[[#This Row],[2pt FGatt]],0)</f>
        <v>0.42857142857142855</v>
      </c>
      <c r="K294" s="4">
        <v>9</v>
      </c>
      <c r="L294" s="4">
        <v>2</v>
      </c>
      <c r="M294" s="4">
        <v>1</v>
      </c>
      <c r="N294" s="8">
        <f>IFERROR(Table1[[#This Row],[3 pts]]/Table1[[#This Row],[3pt att]],0)</f>
        <v>0.5</v>
      </c>
      <c r="O294" s="4">
        <v>7</v>
      </c>
      <c r="P294" s="4">
        <v>4</v>
      </c>
      <c r="Q294" s="4">
        <v>2</v>
      </c>
      <c r="R294" s="4">
        <v>0</v>
      </c>
    </row>
    <row r="295" spans="1:18" x14ac:dyDescent="0.2">
      <c r="A295" s="1">
        <v>46212</v>
      </c>
      <c r="B295" s="6">
        <v>3</v>
      </c>
      <c r="C295" t="s">
        <v>9</v>
      </c>
      <c r="D295" t="s">
        <v>66</v>
      </c>
      <c r="F295" s="6">
        <v>1</v>
      </c>
      <c r="G295" s="4">
        <v>2</v>
      </c>
      <c r="H295" s="4">
        <v>4</v>
      </c>
      <c r="I295" s="4">
        <v>1</v>
      </c>
      <c r="J295" s="7">
        <f>IFERROR(Table1[[#This Row],[2pt FGM]]/Table1[[#This Row],[2pt FGatt]],0)</f>
        <v>0.25</v>
      </c>
      <c r="K295" s="4">
        <v>2</v>
      </c>
      <c r="L295" s="4">
        <v>1</v>
      </c>
      <c r="M295" s="4">
        <v>0</v>
      </c>
      <c r="N295" s="8">
        <f>IFERROR(Table1[[#This Row],[3 pts]]/Table1[[#This Row],[3pt att]],0)</f>
        <v>0</v>
      </c>
      <c r="O295" s="4">
        <v>4</v>
      </c>
      <c r="P295" s="4">
        <v>2</v>
      </c>
      <c r="Q295" s="4">
        <v>3</v>
      </c>
      <c r="R295" s="4">
        <v>0</v>
      </c>
    </row>
    <row r="296" spans="1:18" x14ac:dyDescent="0.2">
      <c r="A296" s="1">
        <v>46212</v>
      </c>
      <c r="B296" s="6">
        <v>3</v>
      </c>
      <c r="C296" t="s">
        <v>16</v>
      </c>
      <c r="D296" t="s">
        <v>66</v>
      </c>
      <c r="F296" s="6">
        <v>1</v>
      </c>
      <c r="G296" s="4">
        <v>2</v>
      </c>
      <c r="H296" s="4">
        <v>4</v>
      </c>
      <c r="I296" s="4">
        <v>1</v>
      </c>
      <c r="J296" s="7">
        <f>IFERROR(Table1[[#This Row],[2pt FGM]]/Table1[[#This Row],[2pt FGatt]],0)</f>
        <v>0.25</v>
      </c>
      <c r="K296" s="4">
        <v>2</v>
      </c>
      <c r="L296" s="4">
        <v>1</v>
      </c>
      <c r="M296" s="4">
        <v>0</v>
      </c>
      <c r="N296" s="8">
        <f>IFERROR(Table1[[#This Row],[3 pts]]/Table1[[#This Row],[3pt att]],0)</f>
        <v>0</v>
      </c>
      <c r="O296" s="4">
        <v>4</v>
      </c>
      <c r="P296" s="4">
        <v>2</v>
      </c>
      <c r="Q296" s="4">
        <v>2</v>
      </c>
      <c r="R296" s="4">
        <v>1</v>
      </c>
    </row>
    <row r="297" spans="1:18" x14ac:dyDescent="0.2">
      <c r="A297" s="1">
        <v>46212</v>
      </c>
      <c r="B297" s="6">
        <v>3</v>
      </c>
      <c r="C297" t="s">
        <v>19</v>
      </c>
      <c r="D297" t="s">
        <v>66</v>
      </c>
      <c r="F297" s="6">
        <v>1</v>
      </c>
      <c r="G297" s="4">
        <v>2</v>
      </c>
      <c r="H297" s="4">
        <v>9</v>
      </c>
      <c r="I297" s="4">
        <v>4</v>
      </c>
      <c r="J297" s="7">
        <f>IFERROR(Table1[[#This Row],[2pt FGM]]/Table1[[#This Row],[2pt FGatt]],0)</f>
        <v>0.44444444444444442</v>
      </c>
      <c r="K297" s="4">
        <v>11</v>
      </c>
      <c r="L297" s="4">
        <v>4</v>
      </c>
      <c r="M297" s="4">
        <v>1</v>
      </c>
      <c r="N297" s="8">
        <f>IFERROR(Table1[[#This Row],[3 pts]]/Table1[[#This Row],[3pt att]],0)</f>
        <v>0.25</v>
      </c>
      <c r="O297" s="4">
        <v>5</v>
      </c>
      <c r="P297" s="4">
        <v>3</v>
      </c>
      <c r="Q297" s="4">
        <v>0</v>
      </c>
      <c r="R297" s="4">
        <v>0</v>
      </c>
    </row>
    <row r="298" spans="1:18" x14ac:dyDescent="0.2">
      <c r="A298" s="1">
        <v>46212</v>
      </c>
      <c r="B298" s="6">
        <v>3</v>
      </c>
      <c r="C298" t="s">
        <v>18</v>
      </c>
      <c r="D298" t="s">
        <v>65</v>
      </c>
      <c r="F298" s="6">
        <v>2</v>
      </c>
      <c r="G298" s="4">
        <v>2</v>
      </c>
      <c r="H298" s="4">
        <v>4</v>
      </c>
      <c r="I298" s="4">
        <v>3</v>
      </c>
      <c r="J298" s="7">
        <f>IFERROR(Table1[[#This Row],[2pt FGM]]/Table1[[#This Row],[2pt FGatt]],0)</f>
        <v>0.75</v>
      </c>
      <c r="K298" s="4">
        <v>6</v>
      </c>
      <c r="L298" s="4">
        <v>8</v>
      </c>
      <c r="M298" s="4">
        <v>0</v>
      </c>
      <c r="N298" s="8">
        <f>IFERROR(Table1[[#This Row],[3 pts]]/Table1[[#This Row],[3pt att]],0)</f>
        <v>0</v>
      </c>
      <c r="O298" s="4">
        <v>2</v>
      </c>
      <c r="P298" s="4">
        <v>1</v>
      </c>
      <c r="Q298" s="4">
        <v>0</v>
      </c>
      <c r="R298" s="4">
        <v>0</v>
      </c>
    </row>
    <row r="299" spans="1:18" x14ac:dyDescent="0.2">
      <c r="A299" s="1">
        <v>46212</v>
      </c>
      <c r="B299" s="6">
        <v>3</v>
      </c>
      <c r="C299" t="s">
        <v>11</v>
      </c>
      <c r="D299" t="s">
        <v>65</v>
      </c>
      <c r="F299" s="6">
        <v>2</v>
      </c>
      <c r="G299" s="4">
        <v>2</v>
      </c>
      <c r="H299" s="4">
        <v>5</v>
      </c>
      <c r="I299" s="4">
        <v>2</v>
      </c>
      <c r="J299" s="7">
        <f>IFERROR(Table1[[#This Row],[2pt FGM]]/Table1[[#This Row],[2pt FGatt]],0)</f>
        <v>0.4</v>
      </c>
      <c r="K299" s="4">
        <v>4</v>
      </c>
      <c r="L299" s="4">
        <v>3</v>
      </c>
      <c r="M299" s="4">
        <v>0</v>
      </c>
      <c r="N299" s="8">
        <f>IFERROR(Table1[[#This Row],[3 pts]]/Table1[[#This Row],[3pt att]],0)</f>
        <v>0</v>
      </c>
      <c r="O299" s="4">
        <v>5</v>
      </c>
      <c r="P299" s="4">
        <v>0</v>
      </c>
      <c r="Q299" s="4">
        <v>0</v>
      </c>
      <c r="R299" s="4">
        <v>0</v>
      </c>
    </row>
    <row r="300" spans="1:18" x14ac:dyDescent="0.2">
      <c r="A300" s="1">
        <v>46212</v>
      </c>
      <c r="B300" s="6">
        <v>3</v>
      </c>
      <c r="C300" t="s">
        <v>7</v>
      </c>
      <c r="D300" t="s">
        <v>65</v>
      </c>
      <c r="F300" s="6">
        <v>2</v>
      </c>
      <c r="G300" s="4">
        <v>2</v>
      </c>
      <c r="H300" s="4">
        <v>1</v>
      </c>
      <c r="I300" s="4">
        <v>0</v>
      </c>
      <c r="J300" s="7">
        <f>IFERROR(Table1[[#This Row],[2pt FGM]]/Table1[[#This Row],[2pt FGatt]],0)</f>
        <v>0</v>
      </c>
      <c r="K300" s="4">
        <v>0</v>
      </c>
      <c r="L300" s="4">
        <v>1</v>
      </c>
      <c r="M300" s="4">
        <v>0</v>
      </c>
      <c r="N300" s="8">
        <f>IFERROR(Table1[[#This Row],[3 pts]]/Table1[[#This Row],[3pt att]],0)</f>
        <v>0</v>
      </c>
      <c r="O300" s="4">
        <v>7</v>
      </c>
      <c r="P300" s="4">
        <v>2</v>
      </c>
      <c r="Q300" s="4">
        <v>3</v>
      </c>
      <c r="R300" s="4">
        <v>0</v>
      </c>
    </row>
    <row r="301" spans="1:18" x14ac:dyDescent="0.2">
      <c r="A301" s="1">
        <v>46212</v>
      </c>
      <c r="B301" s="6">
        <v>3</v>
      </c>
      <c r="C301" t="s">
        <v>9</v>
      </c>
      <c r="D301" t="s">
        <v>66</v>
      </c>
      <c r="F301" s="6">
        <v>2</v>
      </c>
      <c r="G301" s="4">
        <v>2</v>
      </c>
      <c r="H301" s="4">
        <v>1</v>
      </c>
      <c r="I301" s="4">
        <v>1</v>
      </c>
      <c r="J301" s="7">
        <f>IFERROR(Table1[[#This Row],[2pt FGM]]/Table1[[#This Row],[2pt FGatt]],0)</f>
        <v>1</v>
      </c>
      <c r="K301" s="4">
        <v>2</v>
      </c>
      <c r="L301" s="4">
        <v>2</v>
      </c>
      <c r="M301" s="4">
        <v>0</v>
      </c>
      <c r="N301" s="8">
        <f>IFERROR(Table1[[#This Row],[3 pts]]/Table1[[#This Row],[3pt att]],0)</f>
        <v>0</v>
      </c>
      <c r="O301" s="4">
        <v>3</v>
      </c>
      <c r="P301" s="4">
        <v>2</v>
      </c>
      <c r="Q301" s="4">
        <v>1</v>
      </c>
      <c r="R301" s="4">
        <v>0</v>
      </c>
    </row>
    <row r="302" spans="1:18" x14ac:dyDescent="0.2">
      <c r="A302" s="1">
        <v>46212</v>
      </c>
      <c r="B302" s="6">
        <v>3</v>
      </c>
      <c r="C302" t="s">
        <v>16</v>
      </c>
      <c r="D302" t="s">
        <v>66</v>
      </c>
      <c r="F302" s="6">
        <v>2</v>
      </c>
      <c r="G302" s="4">
        <v>2</v>
      </c>
      <c r="H302" s="4">
        <v>7</v>
      </c>
      <c r="I302" s="4">
        <v>3</v>
      </c>
      <c r="J302" s="7">
        <f>IFERROR(Table1[[#This Row],[2pt FGM]]/Table1[[#This Row],[2pt FGatt]],0)</f>
        <v>0.42857142857142855</v>
      </c>
      <c r="K302" s="4">
        <v>6</v>
      </c>
      <c r="L302" s="4">
        <v>0</v>
      </c>
      <c r="M302" s="4">
        <v>0</v>
      </c>
      <c r="N302" s="8">
        <f>IFERROR(Table1[[#This Row],[3 pts]]/Table1[[#This Row],[3pt att]],0)</f>
        <v>0</v>
      </c>
      <c r="O302" s="4">
        <v>7</v>
      </c>
      <c r="P302" s="4">
        <v>0</v>
      </c>
      <c r="Q302" s="4">
        <v>0</v>
      </c>
      <c r="R302" s="4">
        <v>0</v>
      </c>
    </row>
    <row r="303" spans="1:18" x14ac:dyDescent="0.2">
      <c r="A303" s="1">
        <v>46212</v>
      </c>
      <c r="B303" s="6">
        <v>3</v>
      </c>
      <c r="C303" t="s">
        <v>19</v>
      </c>
      <c r="D303" t="s">
        <v>66</v>
      </c>
      <c r="F303" s="6">
        <v>2</v>
      </c>
      <c r="G303" s="4">
        <v>2</v>
      </c>
      <c r="H303" s="4">
        <v>3</v>
      </c>
      <c r="I303" s="4">
        <v>0</v>
      </c>
      <c r="J303" s="7">
        <f>IFERROR(Table1[[#This Row],[2pt FGM]]/Table1[[#This Row],[2pt FGatt]],0)</f>
        <v>0</v>
      </c>
      <c r="K303" s="4">
        <v>3</v>
      </c>
      <c r="L303" s="4">
        <v>5</v>
      </c>
      <c r="M303" s="4">
        <v>1</v>
      </c>
      <c r="N303" s="8">
        <f>IFERROR(Table1[[#This Row],[3 pts]]/Table1[[#This Row],[3pt att]],0)</f>
        <v>0.2</v>
      </c>
      <c r="O303" s="4">
        <v>1</v>
      </c>
      <c r="P303" s="4">
        <v>2</v>
      </c>
      <c r="Q303" s="4">
        <v>1</v>
      </c>
      <c r="R303" s="4">
        <v>0</v>
      </c>
    </row>
    <row r="304" spans="1:18" x14ac:dyDescent="0.2">
      <c r="A304" s="1">
        <v>46212</v>
      </c>
      <c r="B304" s="6">
        <v>3</v>
      </c>
      <c r="C304" t="s">
        <v>18</v>
      </c>
      <c r="D304" t="s">
        <v>65</v>
      </c>
      <c r="F304" s="6">
        <v>3</v>
      </c>
      <c r="G304" s="4">
        <v>2</v>
      </c>
      <c r="H304" s="4">
        <v>5</v>
      </c>
      <c r="I304" s="4">
        <v>1</v>
      </c>
      <c r="J304" s="7">
        <f>IFERROR(Table1[[#This Row],[2pt FGM]]/Table1[[#This Row],[2pt FGatt]],0)</f>
        <v>0.2</v>
      </c>
      <c r="K304" s="4">
        <v>8</v>
      </c>
      <c r="L304" s="4">
        <v>7</v>
      </c>
      <c r="M304" s="4">
        <v>2</v>
      </c>
      <c r="N304" s="8">
        <f>IFERROR(Table1[[#This Row],[3 pts]]/Table1[[#This Row],[3pt att]],0)</f>
        <v>0.2857142857142857</v>
      </c>
      <c r="O304" s="4">
        <v>1</v>
      </c>
      <c r="P304" s="4">
        <v>2</v>
      </c>
      <c r="Q304" s="4">
        <v>1</v>
      </c>
      <c r="R304" s="4">
        <v>0</v>
      </c>
    </row>
    <row r="305" spans="1:18" x14ac:dyDescent="0.2">
      <c r="A305" s="1">
        <v>46212</v>
      </c>
      <c r="B305" s="6">
        <v>3</v>
      </c>
      <c r="C305" t="s">
        <v>11</v>
      </c>
      <c r="D305" t="s">
        <v>65</v>
      </c>
      <c r="F305" s="6">
        <v>3</v>
      </c>
      <c r="G305" s="4">
        <v>2</v>
      </c>
      <c r="H305" s="4">
        <v>6</v>
      </c>
      <c r="I305" s="4">
        <v>0</v>
      </c>
      <c r="J305" s="7">
        <f>IFERROR(Table1[[#This Row],[2pt FGM]]/Table1[[#This Row],[2pt FGatt]],0)</f>
        <v>0</v>
      </c>
      <c r="K305" s="4">
        <v>0</v>
      </c>
      <c r="L305" s="4">
        <v>4</v>
      </c>
      <c r="M305" s="4">
        <v>0</v>
      </c>
      <c r="N305" s="8">
        <f>IFERROR(Table1[[#This Row],[3 pts]]/Table1[[#This Row],[3pt att]],0)</f>
        <v>0</v>
      </c>
      <c r="O305" s="4">
        <v>3</v>
      </c>
      <c r="P305" s="4">
        <v>2</v>
      </c>
      <c r="Q305" s="4">
        <v>2</v>
      </c>
      <c r="R305" s="4">
        <v>0</v>
      </c>
    </row>
    <row r="306" spans="1:18" x14ac:dyDescent="0.2">
      <c r="A306" s="1">
        <v>46212</v>
      </c>
      <c r="B306" s="6">
        <v>3</v>
      </c>
      <c r="C306" t="s">
        <v>7</v>
      </c>
      <c r="D306" t="s">
        <v>65</v>
      </c>
      <c r="F306" s="6">
        <v>3</v>
      </c>
      <c r="G306" s="4">
        <v>2</v>
      </c>
      <c r="H306" s="4">
        <v>5</v>
      </c>
      <c r="I306" s="4">
        <v>4</v>
      </c>
      <c r="J306" s="7">
        <f>IFERROR(Table1[[#This Row],[2pt FGM]]/Table1[[#This Row],[2pt FGatt]],0)</f>
        <v>0.8</v>
      </c>
      <c r="K306" s="4">
        <v>14</v>
      </c>
      <c r="L306" s="4">
        <v>2</v>
      </c>
      <c r="M306" s="4">
        <v>2</v>
      </c>
      <c r="N306" s="8">
        <f>IFERROR(Table1[[#This Row],[3 pts]]/Table1[[#This Row],[3pt att]],0)</f>
        <v>1</v>
      </c>
      <c r="O306" s="4">
        <v>11</v>
      </c>
      <c r="P306" s="4">
        <v>3</v>
      </c>
      <c r="Q306" s="4">
        <v>1</v>
      </c>
      <c r="R306" s="4">
        <v>0</v>
      </c>
    </row>
    <row r="307" spans="1:18" x14ac:dyDescent="0.2">
      <c r="A307" s="1">
        <v>46212</v>
      </c>
      <c r="B307" s="6">
        <v>3</v>
      </c>
      <c r="C307" t="s">
        <v>9</v>
      </c>
      <c r="D307" t="s">
        <v>66</v>
      </c>
      <c r="F307" s="6">
        <v>3</v>
      </c>
      <c r="G307" s="4">
        <v>2</v>
      </c>
      <c r="H307" s="4">
        <v>3</v>
      </c>
      <c r="I307" s="4">
        <v>0</v>
      </c>
      <c r="J307" s="7">
        <f>IFERROR(Table1[[#This Row],[2pt FGM]]/Table1[[#This Row],[2pt FGatt]],0)</f>
        <v>0</v>
      </c>
      <c r="K307" s="4">
        <v>0</v>
      </c>
      <c r="L307" s="4">
        <v>1</v>
      </c>
      <c r="M307" s="4">
        <v>0</v>
      </c>
      <c r="N307" s="8">
        <f>IFERROR(Table1[[#This Row],[3 pts]]/Table1[[#This Row],[3pt att]],0)</f>
        <v>0</v>
      </c>
      <c r="O307" s="4">
        <v>3</v>
      </c>
      <c r="P307" s="4">
        <v>0</v>
      </c>
      <c r="Q307" s="4">
        <v>3</v>
      </c>
      <c r="R307" s="4">
        <v>1</v>
      </c>
    </row>
    <row r="308" spans="1:18" x14ac:dyDescent="0.2">
      <c r="A308" s="1">
        <v>46212</v>
      </c>
      <c r="B308" s="6">
        <v>3</v>
      </c>
      <c r="C308" t="s">
        <v>16</v>
      </c>
      <c r="D308" t="s">
        <v>66</v>
      </c>
      <c r="F308" s="6">
        <v>3</v>
      </c>
      <c r="G308" s="4">
        <v>2</v>
      </c>
      <c r="H308" s="4">
        <v>6</v>
      </c>
      <c r="I308" s="4">
        <v>4</v>
      </c>
      <c r="J308" s="7">
        <f>IFERROR(Table1[[#This Row],[2pt FGM]]/Table1[[#This Row],[2pt FGatt]],0)</f>
        <v>0.66666666666666663</v>
      </c>
      <c r="K308" s="4">
        <v>11</v>
      </c>
      <c r="L308" s="4">
        <v>3</v>
      </c>
      <c r="M308" s="4">
        <v>1</v>
      </c>
      <c r="N308" s="8">
        <f>IFERROR(Table1[[#This Row],[3 pts]]/Table1[[#This Row],[3pt att]],0)</f>
        <v>0.33333333333333331</v>
      </c>
      <c r="O308" s="4">
        <v>8</v>
      </c>
      <c r="P308" s="4">
        <v>2</v>
      </c>
      <c r="Q308" s="4">
        <v>0</v>
      </c>
      <c r="R308" s="4">
        <v>1</v>
      </c>
    </row>
    <row r="309" spans="1:18" x14ac:dyDescent="0.2">
      <c r="A309" s="1">
        <v>46212</v>
      </c>
      <c r="B309" s="6">
        <v>3</v>
      </c>
      <c r="C309" t="s">
        <v>19</v>
      </c>
      <c r="D309" t="s">
        <v>66</v>
      </c>
      <c r="F309" s="6">
        <v>3</v>
      </c>
      <c r="G309" s="4">
        <v>2</v>
      </c>
      <c r="H309" s="4">
        <v>2</v>
      </c>
      <c r="I309" s="4">
        <v>1</v>
      </c>
      <c r="J309" s="7">
        <f>IFERROR(Table1[[#This Row],[2pt FGM]]/Table1[[#This Row],[2pt FGatt]],0)</f>
        <v>0.5</v>
      </c>
      <c r="K309" s="4">
        <v>8</v>
      </c>
      <c r="L309" s="4">
        <v>9</v>
      </c>
      <c r="M309" s="4">
        <v>2</v>
      </c>
      <c r="N309" s="8">
        <f>IFERROR(Table1[[#This Row],[3 pts]]/Table1[[#This Row],[3pt att]],0)</f>
        <v>0.22222222222222221</v>
      </c>
      <c r="O309" s="4">
        <v>2</v>
      </c>
      <c r="P309" s="4">
        <v>2</v>
      </c>
      <c r="Q309" s="4">
        <v>1</v>
      </c>
      <c r="R309" s="4">
        <v>1</v>
      </c>
    </row>
    <row r="310" spans="1:18" x14ac:dyDescent="0.2">
      <c r="A310" s="1">
        <v>46212</v>
      </c>
      <c r="B310" s="6">
        <v>3</v>
      </c>
      <c r="C310" t="s">
        <v>18</v>
      </c>
      <c r="D310" t="s">
        <v>65</v>
      </c>
      <c r="F310" s="6">
        <v>4</v>
      </c>
      <c r="G310" s="4">
        <v>2</v>
      </c>
      <c r="H310" s="4">
        <v>1</v>
      </c>
      <c r="I310" s="4">
        <v>0</v>
      </c>
      <c r="J310" s="7">
        <f>IFERROR(Table1[[#This Row],[2pt FGM]]/Table1[[#This Row],[2pt FGatt]],0)</f>
        <v>0</v>
      </c>
      <c r="K310" s="4">
        <v>3</v>
      </c>
      <c r="L310" s="4">
        <v>11</v>
      </c>
      <c r="M310" s="4">
        <v>1</v>
      </c>
      <c r="N310" s="8">
        <f>IFERROR(Table1[[#This Row],[3 pts]]/Table1[[#This Row],[3pt att]],0)</f>
        <v>9.0909090909090912E-2</v>
      </c>
      <c r="O310" s="4">
        <v>1</v>
      </c>
      <c r="P310" s="4">
        <v>1</v>
      </c>
      <c r="Q310" s="4">
        <v>1</v>
      </c>
      <c r="R310" s="4">
        <v>0</v>
      </c>
    </row>
    <row r="311" spans="1:18" x14ac:dyDescent="0.2">
      <c r="A311" s="1">
        <v>46212</v>
      </c>
      <c r="B311" s="6">
        <v>3</v>
      </c>
      <c r="C311" t="s">
        <v>11</v>
      </c>
      <c r="D311" t="s">
        <v>65</v>
      </c>
      <c r="F311" s="6">
        <v>4</v>
      </c>
      <c r="G311" s="4">
        <v>2</v>
      </c>
      <c r="H311" s="4">
        <v>4</v>
      </c>
      <c r="I311" s="4">
        <v>2</v>
      </c>
      <c r="J311" s="7">
        <f>IFERROR(Table1[[#This Row],[2pt FGM]]/Table1[[#This Row],[2pt FGatt]],0)</f>
        <v>0.5</v>
      </c>
      <c r="K311" s="4">
        <v>4</v>
      </c>
      <c r="L311" s="4">
        <v>0</v>
      </c>
      <c r="M311" s="4">
        <v>0</v>
      </c>
      <c r="N311" s="8">
        <f>IFERROR(Table1[[#This Row],[3 pts]]/Table1[[#This Row],[3pt att]],0)</f>
        <v>0</v>
      </c>
      <c r="O311" s="4">
        <v>3</v>
      </c>
      <c r="P311" s="4">
        <v>3</v>
      </c>
      <c r="Q311" s="4">
        <v>0</v>
      </c>
      <c r="R311" s="4">
        <v>0</v>
      </c>
    </row>
    <row r="312" spans="1:18" x14ac:dyDescent="0.2">
      <c r="A312" s="1">
        <v>46212</v>
      </c>
      <c r="B312" s="6">
        <v>3</v>
      </c>
      <c r="C312" t="s">
        <v>7</v>
      </c>
      <c r="D312" t="s">
        <v>65</v>
      </c>
      <c r="F312" s="6">
        <v>4</v>
      </c>
      <c r="G312" s="4">
        <v>2</v>
      </c>
      <c r="H312" s="4">
        <v>5</v>
      </c>
      <c r="I312" s="4">
        <v>2</v>
      </c>
      <c r="J312" s="7">
        <f>IFERROR(Table1[[#This Row],[2pt FGM]]/Table1[[#This Row],[2pt FGatt]],0)</f>
        <v>0.4</v>
      </c>
      <c r="K312" s="4">
        <v>4</v>
      </c>
      <c r="L312" s="4">
        <v>4</v>
      </c>
      <c r="M312" s="4">
        <v>0</v>
      </c>
      <c r="N312" s="8">
        <f>IFERROR(Table1[[#This Row],[3 pts]]/Table1[[#This Row],[3pt att]],0)</f>
        <v>0</v>
      </c>
      <c r="O312" s="4">
        <v>10</v>
      </c>
      <c r="P312" s="4">
        <v>2</v>
      </c>
      <c r="Q312" s="4">
        <v>1</v>
      </c>
      <c r="R312" s="4">
        <v>0</v>
      </c>
    </row>
    <row r="313" spans="1:18" x14ac:dyDescent="0.2">
      <c r="A313" s="1">
        <v>46212</v>
      </c>
      <c r="B313" s="6">
        <v>3</v>
      </c>
      <c r="C313" t="s">
        <v>9</v>
      </c>
      <c r="D313" t="s">
        <v>66</v>
      </c>
      <c r="F313" s="6">
        <v>4</v>
      </c>
      <c r="G313" s="4">
        <v>2</v>
      </c>
      <c r="H313" s="4">
        <v>1</v>
      </c>
      <c r="I313" s="4">
        <v>0</v>
      </c>
      <c r="J313" s="7">
        <f>IFERROR(Table1[[#This Row],[2pt FGM]]/Table1[[#This Row],[2pt FGatt]],0)</f>
        <v>0</v>
      </c>
      <c r="K313" s="4">
        <v>0</v>
      </c>
      <c r="L313" s="4">
        <v>1</v>
      </c>
      <c r="M313" s="4">
        <v>0</v>
      </c>
      <c r="N313" s="8">
        <f>IFERROR(Table1[[#This Row],[3 pts]]/Table1[[#This Row],[3pt att]],0)</f>
        <v>0</v>
      </c>
      <c r="O313" s="4">
        <v>5</v>
      </c>
      <c r="P313" s="4">
        <v>4</v>
      </c>
      <c r="Q313" s="4">
        <v>5</v>
      </c>
      <c r="R313" s="4">
        <v>0</v>
      </c>
    </row>
    <row r="314" spans="1:18" x14ac:dyDescent="0.2">
      <c r="A314" s="1">
        <v>46212</v>
      </c>
      <c r="B314" s="6">
        <v>3</v>
      </c>
      <c r="C314" t="s">
        <v>16</v>
      </c>
      <c r="D314" t="s">
        <v>66</v>
      </c>
      <c r="F314" s="6">
        <v>4</v>
      </c>
      <c r="G314" s="4">
        <v>2</v>
      </c>
      <c r="H314" s="4">
        <v>8</v>
      </c>
      <c r="I314" s="4">
        <v>4</v>
      </c>
      <c r="J314" s="7">
        <f>IFERROR(Table1[[#This Row],[2pt FGM]]/Table1[[#This Row],[2pt FGatt]],0)</f>
        <v>0.5</v>
      </c>
      <c r="K314" s="4">
        <v>8</v>
      </c>
      <c r="L314" s="4">
        <v>0</v>
      </c>
      <c r="M314" s="4">
        <v>0</v>
      </c>
      <c r="N314" s="8">
        <f>IFERROR(Table1[[#This Row],[3 pts]]/Table1[[#This Row],[3pt att]],0)</f>
        <v>0</v>
      </c>
      <c r="O314" s="4">
        <v>7</v>
      </c>
      <c r="P314" s="4">
        <v>0</v>
      </c>
      <c r="Q314" s="4">
        <v>2</v>
      </c>
      <c r="R314" s="4">
        <v>0</v>
      </c>
    </row>
    <row r="315" spans="1:18" x14ac:dyDescent="0.2">
      <c r="A315" s="1">
        <v>46212</v>
      </c>
      <c r="B315" s="6">
        <v>3</v>
      </c>
      <c r="C315" t="s">
        <v>19</v>
      </c>
      <c r="D315" t="s">
        <v>66</v>
      </c>
      <c r="F315" s="6">
        <v>4</v>
      </c>
      <c r="G315" s="4">
        <v>2</v>
      </c>
      <c r="H315" s="4">
        <v>4</v>
      </c>
      <c r="I315" s="4">
        <v>3</v>
      </c>
      <c r="J315" s="7">
        <f>IFERROR(Table1[[#This Row],[2pt FGM]]/Table1[[#This Row],[2pt FGatt]],0)</f>
        <v>0.75</v>
      </c>
      <c r="K315" s="4">
        <v>9</v>
      </c>
      <c r="L315" s="4">
        <v>11</v>
      </c>
      <c r="M315" s="4">
        <v>1</v>
      </c>
      <c r="N315" s="8">
        <f>IFERROR(Table1[[#This Row],[3 pts]]/Table1[[#This Row],[3pt att]],0)</f>
        <v>9.0909090909090912E-2</v>
      </c>
      <c r="O315" s="4">
        <v>5</v>
      </c>
      <c r="P315" s="4">
        <v>1</v>
      </c>
      <c r="Q315" s="4">
        <v>1</v>
      </c>
      <c r="R315" s="4">
        <v>1</v>
      </c>
    </row>
    <row r="316" spans="1:18" x14ac:dyDescent="0.2">
      <c r="A316" s="1">
        <v>46226</v>
      </c>
      <c r="B316" s="6">
        <v>3</v>
      </c>
      <c r="C316" t="s">
        <v>18</v>
      </c>
      <c r="D316" t="s">
        <v>65</v>
      </c>
      <c r="F316" s="6">
        <v>1</v>
      </c>
      <c r="G316" s="4">
        <v>3</v>
      </c>
      <c r="H316" s="4">
        <v>5</v>
      </c>
      <c r="I316" s="4">
        <v>2</v>
      </c>
      <c r="J316" s="7">
        <f>IFERROR(Table1[[#This Row],[2pt FGM]]/Table1[[#This Row],[2pt FGatt]],0)</f>
        <v>0.4</v>
      </c>
      <c r="K316" s="4">
        <v>4</v>
      </c>
      <c r="L316" s="4">
        <v>2</v>
      </c>
      <c r="M316" s="4">
        <v>9</v>
      </c>
      <c r="N316" s="8">
        <f>IFERROR(Table1[[#This Row],[3 pts]]/Table1[[#This Row],[3pt att]],0)</f>
        <v>4.5</v>
      </c>
      <c r="O316" s="4">
        <v>2</v>
      </c>
      <c r="P316" s="4">
        <v>1</v>
      </c>
      <c r="Q316" s="4">
        <v>1</v>
      </c>
      <c r="R316" s="4">
        <v>0</v>
      </c>
    </row>
    <row r="317" spans="1:18" x14ac:dyDescent="0.2">
      <c r="A317" s="1">
        <v>46226</v>
      </c>
      <c r="B317" s="6">
        <v>3</v>
      </c>
      <c r="C317" t="s">
        <v>11</v>
      </c>
      <c r="D317" t="s">
        <v>65</v>
      </c>
      <c r="F317" s="6">
        <v>1</v>
      </c>
      <c r="G317" s="4">
        <v>3</v>
      </c>
      <c r="H317" s="4">
        <v>8</v>
      </c>
      <c r="I317" s="4">
        <v>2</v>
      </c>
      <c r="J317" s="7">
        <f>IFERROR(Table1[[#This Row],[2pt FGM]]/Table1[[#This Row],[2pt FGatt]],0)</f>
        <v>0.25</v>
      </c>
      <c r="K317" s="4">
        <v>4</v>
      </c>
      <c r="L317" s="4">
        <v>2</v>
      </c>
      <c r="M317" s="4">
        <v>0</v>
      </c>
      <c r="N317" s="8">
        <f>IFERROR(Table1[[#This Row],[3 pts]]/Table1[[#This Row],[3pt att]],0)</f>
        <v>0</v>
      </c>
      <c r="O317" s="4">
        <v>4</v>
      </c>
      <c r="P317" s="4">
        <v>1</v>
      </c>
      <c r="Q317" s="4">
        <v>1</v>
      </c>
      <c r="R317" s="4">
        <v>0</v>
      </c>
    </row>
    <row r="318" spans="1:18" x14ac:dyDescent="0.2">
      <c r="A318" s="1">
        <v>46226</v>
      </c>
      <c r="B318" s="6">
        <v>3</v>
      </c>
      <c r="C318" t="s">
        <v>20</v>
      </c>
      <c r="D318" t="s">
        <v>65</v>
      </c>
      <c r="F318" s="6">
        <v>1</v>
      </c>
      <c r="G318" s="4">
        <v>3</v>
      </c>
      <c r="H318" s="4">
        <v>2</v>
      </c>
      <c r="I318" s="4">
        <v>1</v>
      </c>
      <c r="J318" s="7">
        <f>IFERROR(Table1[[#This Row],[2pt FGM]]/Table1[[#This Row],[2pt FGatt]],0)</f>
        <v>0.5</v>
      </c>
      <c r="K318" s="4">
        <v>2</v>
      </c>
      <c r="L318" s="4">
        <v>0</v>
      </c>
      <c r="M318" s="4">
        <v>0</v>
      </c>
      <c r="N318" s="8">
        <f>IFERROR(Table1[[#This Row],[3 pts]]/Table1[[#This Row],[3pt att]],0)</f>
        <v>0</v>
      </c>
      <c r="O318" s="4">
        <v>0</v>
      </c>
      <c r="P318" s="4">
        <v>0</v>
      </c>
      <c r="Q318" s="4">
        <v>0</v>
      </c>
      <c r="R318" s="4">
        <v>0</v>
      </c>
    </row>
    <row r="319" spans="1:18" x14ac:dyDescent="0.2">
      <c r="A319" s="1">
        <v>46226</v>
      </c>
      <c r="B319" s="6">
        <v>3</v>
      </c>
      <c r="C319" t="s">
        <v>7</v>
      </c>
      <c r="D319" t="s">
        <v>65</v>
      </c>
      <c r="F319" s="6">
        <v>1</v>
      </c>
      <c r="G319" s="4">
        <v>3</v>
      </c>
      <c r="H319" s="4">
        <v>10</v>
      </c>
      <c r="I319" s="4">
        <v>2</v>
      </c>
      <c r="J319" s="7">
        <f>IFERROR(Table1[[#This Row],[2pt FGM]]/Table1[[#This Row],[2pt FGatt]],0)</f>
        <v>0.2</v>
      </c>
      <c r="K319" s="4">
        <v>4</v>
      </c>
      <c r="L319" s="4">
        <v>0</v>
      </c>
      <c r="M319" s="4">
        <v>0</v>
      </c>
      <c r="N319" s="8">
        <f>IFERROR(Table1[[#This Row],[3 pts]]/Table1[[#This Row],[3pt att]],0)</f>
        <v>0</v>
      </c>
      <c r="O319" s="4">
        <v>8</v>
      </c>
      <c r="P319" s="4">
        <v>1</v>
      </c>
      <c r="Q319" s="4">
        <v>2</v>
      </c>
      <c r="R319" s="4">
        <v>0</v>
      </c>
    </row>
    <row r="320" spans="1:18" x14ac:dyDescent="0.2">
      <c r="A320" s="1">
        <v>46226</v>
      </c>
      <c r="B320" s="6">
        <v>3</v>
      </c>
      <c r="C320" t="s">
        <v>9</v>
      </c>
      <c r="D320" t="s">
        <v>66</v>
      </c>
      <c r="F320" s="6">
        <v>1</v>
      </c>
      <c r="G320" s="4">
        <v>3</v>
      </c>
      <c r="H320" s="4">
        <v>0</v>
      </c>
      <c r="I320" s="4">
        <v>0</v>
      </c>
      <c r="J320" s="7">
        <f>IFERROR(Table1[[#This Row],[2pt FGM]]/Table1[[#This Row],[2pt FGatt]],0)</f>
        <v>0</v>
      </c>
      <c r="K320" s="4">
        <v>0</v>
      </c>
      <c r="L320" s="4">
        <v>0</v>
      </c>
      <c r="M320" s="4">
        <v>0</v>
      </c>
      <c r="N320" s="8">
        <f>IFERROR(Table1[[#This Row],[3 pts]]/Table1[[#This Row],[3pt att]],0)</f>
        <v>0</v>
      </c>
      <c r="O320" s="4">
        <v>0</v>
      </c>
      <c r="P320" s="4">
        <v>2</v>
      </c>
      <c r="Q320" s="4">
        <v>3</v>
      </c>
      <c r="R320" s="4">
        <v>0</v>
      </c>
    </row>
    <row r="321" spans="1:18" x14ac:dyDescent="0.2">
      <c r="A321" s="1">
        <v>46226</v>
      </c>
      <c r="B321" s="6">
        <v>3</v>
      </c>
      <c r="C321" t="s">
        <v>17</v>
      </c>
      <c r="D321" t="s">
        <v>66</v>
      </c>
      <c r="F321" s="6">
        <v>1</v>
      </c>
      <c r="G321" s="4">
        <v>3</v>
      </c>
      <c r="H321" s="4">
        <v>3</v>
      </c>
      <c r="I321" s="4">
        <v>2</v>
      </c>
      <c r="J321" s="7">
        <f>IFERROR(Table1[[#This Row],[2pt FGM]]/Table1[[#This Row],[2pt FGatt]],0)</f>
        <v>0.66666666666666663</v>
      </c>
      <c r="K321" s="4">
        <v>4</v>
      </c>
      <c r="L321" s="4">
        <v>1</v>
      </c>
      <c r="M321" s="4">
        <v>0</v>
      </c>
      <c r="N321" s="8">
        <f>IFERROR(Table1[[#This Row],[3 pts]]/Table1[[#This Row],[3pt att]],0)</f>
        <v>0</v>
      </c>
      <c r="O321" s="4">
        <v>0</v>
      </c>
      <c r="P321" s="4">
        <v>1</v>
      </c>
      <c r="Q321" s="4">
        <v>0</v>
      </c>
      <c r="R321" s="4">
        <v>0</v>
      </c>
    </row>
    <row r="322" spans="1:18" x14ac:dyDescent="0.2">
      <c r="A322" s="1">
        <v>46226</v>
      </c>
      <c r="B322" s="6">
        <v>3</v>
      </c>
      <c r="C322" t="s">
        <v>16</v>
      </c>
      <c r="D322" t="s">
        <v>66</v>
      </c>
      <c r="F322" s="6">
        <v>1</v>
      </c>
      <c r="G322" s="4">
        <v>3</v>
      </c>
      <c r="H322" s="4">
        <v>4</v>
      </c>
      <c r="I322" s="4">
        <v>3</v>
      </c>
      <c r="J322" s="7">
        <f>IFERROR(Table1[[#This Row],[2pt FGM]]/Table1[[#This Row],[2pt FGatt]],0)</f>
        <v>0.75</v>
      </c>
      <c r="K322" s="4">
        <v>6</v>
      </c>
      <c r="L322" s="4">
        <v>1</v>
      </c>
      <c r="M322" s="4">
        <v>0</v>
      </c>
      <c r="N322" s="8">
        <f>IFERROR(Table1[[#This Row],[3 pts]]/Table1[[#This Row],[3pt att]],0)</f>
        <v>0</v>
      </c>
      <c r="O322" s="4">
        <v>4</v>
      </c>
      <c r="P322" s="4">
        <v>1</v>
      </c>
      <c r="Q322" s="4">
        <v>0</v>
      </c>
      <c r="R322" s="4">
        <v>3</v>
      </c>
    </row>
    <row r="323" spans="1:18" x14ac:dyDescent="0.2">
      <c r="A323" s="1">
        <v>46226</v>
      </c>
      <c r="B323" s="6">
        <v>3</v>
      </c>
      <c r="C323" t="s">
        <v>19</v>
      </c>
      <c r="D323" t="s">
        <v>66</v>
      </c>
      <c r="F323" s="6">
        <v>1</v>
      </c>
      <c r="G323" s="4">
        <v>3</v>
      </c>
      <c r="H323" s="4">
        <v>6</v>
      </c>
      <c r="I323" s="4">
        <v>3</v>
      </c>
      <c r="J323" s="7">
        <f>IFERROR(Table1[[#This Row],[2pt FGM]]/Table1[[#This Row],[2pt FGatt]],0)</f>
        <v>0.5</v>
      </c>
      <c r="K323" s="4">
        <v>6</v>
      </c>
      <c r="L323" s="4">
        <v>2</v>
      </c>
      <c r="M323" s="4">
        <v>0</v>
      </c>
      <c r="N323" s="8">
        <f>IFERROR(Table1[[#This Row],[3 pts]]/Table1[[#This Row],[3pt att]],0)</f>
        <v>0</v>
      </c>
      <c r="O323" s="4">
        <v>4</v>
      </c>
      <c r="P323" s="4">
        <v>0</v>
      </c>
      <c r="Q323" s="4">
        <v>2</v>
      </c>
      <c r="R323" s="4">
        <v>1</v>
      </c>
    </row>
    <row r="324" spans="1:18" x14ac:dyDescent="0.2">
      <c r="A324" s="1">
        <v>46226</v>
      </c>
      <c r="B324" s="6">
        <v>3</v>
      </c>
      <c r="C324" t="s">
        <v>18</v>
      </c>
      <c r="D324" t="s">
        <v>65</v>
      </c>
      <c r="F324" s="6">
        <v>2</v>
      </c>
      <c r="G324" s="4">
        <v>3</v>
      </c>
      <c r="H324" s="4">
        <v>1</v>
      </c>
      <c r="I324" s="4">
        <v>0</v>
      </c>
      <c r="J324" s="7">
        <f>IFERROR(Table1[[#This Row],[2pt FGM]]/Table1[[#This Row],[2pt FGatt]],0)</f>
        <v>0</v>
      </c>
      <c r="K324" s="4">
        <v>9</v>
      </c>
      <c r="L324" s="4">
        <v>9</v>
      </c>
      <c r="M324" s="4">
        <v>3</v>
      </c>
      <c r="N324" s="8">
        <f>IFERROR(Table1[[#This Row],[3 pts]]/Table1[[#This Row],[3pt att]],0)</f>
        <v>0.33333333333333331</v>
      </c>
      <c r="O324" s="4">
        <v>0</v>
      </c>
      <c r="P324" s="4">
        <v>0</v>
      </c>
      <c r="Q324" s="4">
        <v>0</v>
      </c>
      <c r="R324" s="4">
        <v>0</v>
      </c>
    </row>
    <row r="325" spans="1:18" x14ac:dyDescent="0.2">
      <c r="A325" s="1">
        <v>46226</v>
      </c>
      <c r="B325" s="6">
        <v>3</v>
      </c>
      <c r="C325" t="s">
        <v>11</v>
      </c>
      <c r="D325" t="s">
        <v>65</v>
      </c>
      <c r="F325" s="6">
        <v>2</v>
      </c>
      <c r="G325" s="4">
        <v>3</v>
      </c>
      <c r="H325" s="4">
        <v>6</v>
      </c>
      <c r="I325" s="4">
        <v>1</v>
      </c>
      <c r="J325" s="7">
        <f>IFERROR(Table1[[#This Row],[2pt FGM]]/Table1[[#This Row],[2pt FGatt]],0)</f>
        <v>0.16666666666666666</v>
      </c>
      <c r="K325" s="4">
        <v>2</v>
      </c>
      <c r="L325" s="4">
        <v>1</v>
      </c>
      <c r="M325" s="4">
        <v>0</v>
      </c>
      <c r="N325" s="8">
        <f>IFERROR(Table1[[#This Row],[3 pts]]/Table1[[#This Row],[3pt att]],0)</f>
        <v>0</v>
      </c>
      <c r="O325" s="4">
        <v>4</v>
      </c>
      <c r="P325" s="4">
        <v>1</v>
      </c>
      <c r="Q325" s="4">
        <v>0</v>
      </c>
      <c r="R325" s="4">
        <v>0</v>
      </c>
    </row>
    <row r="326" spans="1:18" x14ac:dyDescent="0.2">
      <c r="A326" s="1">
        <v>46226</v>
      </c>
      <c r="B326" s="6">
        <v>3</v>
      </c>
      <c r="C326" t="s">
        <v>20</v>
      </c>
      <c r="D326" t="s">
        <v>65</v>
      </c>
      <c r="F326" s="6">
        <v>2</v>
      </c>
      <c r="G326" s="4">
        <v>3</v>
      </c>
      <c r="H326" s="4">
        <v>4</v>
      </c>
      <c r="I326" s="4">
        <v>2</v>
      </c>
      <c r="J326" s="7">
        <f>IFERROR(Table1[[#This Row],[2pt FGM]]/Table1[[#This Row],[2pt FGatt]],0)</f>
        <v>0.5</v>
      </c>
      <c r="K326" s="4">
        <v>4</v>
      </c>
      <c r="L326" s="4">
        <v>0</v>
      </c>
      <c r="M326" s="4">
        <v>0</v>
      </c>
      <c r="N326" s="8">
        <f>IFERROR(Table1[[#This Row],[3 pts]]/Table1[[#This Row],[3pt att]],0)</f>
        <v>0</v>
      </c>
      <c r="O326" s="4">
        <v>1</v>
      </c>
      <c r="P326" s="4">
        <v>0</v>
      </c>
      <c r="Q326" s="4">
        <v>2</v>
      </c>
      <c r="R326" s="4">
        <v>0</v>
      </c>
    </row>
    <row r="327" spans="1:18" x14ac:dyDescent="0.2">
      <c r="A327" s="1">
        <v>46226</v>
      </c>
      <c r="B327" s="6">
        <v>3</v>
      </c>
      <c r="C327" t="s">
        <v>7</v>
      </c>
      <c r="D327" t="s">
        <v>65</v>
      </c>
      <c r="F327" s="6">
        <v>2</v>
      </c>
      <c r="G327" s="4">
        <v>3</v>
      </c>
      <c r="H327" s="4">
        <v>7</v>
      </c>
      <c r="I327" s="4">
        <v>3</v>
      </c>
      <c r="J327" s="7">
        <f>IFERROR(Table1[[#This Row],[2pt FGM]]/Table1[[#This Row],[2pt FGatt]],0)</f>
        <v>0.42857142857142855</v>
      </c>
      <c r="K327" s="4">
        <v>6</v>
      </c>
      <c r="L327" s="4">
        <v>1</v>
      </c>
      <c r="M327" s="4">
        <v>0</v>
      </c>
      <c r="N327" s="8">
        <f>IFERROR(Table1[[#This Row],[3 pts]]/Table1[[#This Row],[3pt att]],0)</f>
        <v>0</v>
      </c>
      <c r="O327" s="4">
        <v>14</v>
      </c>
      <c r="P327" s="4">
        <v>3</v>
      </c>
      <c r="Q327" s="4">
        <v>4</v>
      </c>
      <c r="R327" s="4">
        <v>0</v>
      </c>
    </row>
    <row r="328" spans="1:18" x14ac:dyDescent="0.2">
      <c r="A328" s="1">
        <v>46226</v>
      </c>
      <c r="B328" s="6">
        <v>3</v>
      </c>
      <c r="C328" t="s">
        <v>9</v>
      </c>
      <c r="D328" t="s">
        <v>66</v>
      </c>
      <c r="F328" s="6">
        <v>2</v>
      </c>
      <c r="G328" s="4">
        <v>3</v>
      </c>
      <c r="H328" s="4">
        <v>3</v>
      </c>
      <c r="I328" s="4">
        <v>1</v>
      </c>
      <c r="J328" s="7">
        <f>IFERROR(Table1[[#This Row],[2pt FGM]]/Table1[[#This Row],[2pt FGatt]],0)</f>
        <v>0.33333333333333331</v>
      </c>
      <c r="K328" s="4">
        <v>2</v>
      </c>
      <c r="L328" s="4">
        <v>0</v>
      </c>
      <c r="M328" s="4">
        <v>0</v>
      </c>
      <c r="N328" s="8">
        <f>IFERROR(Table1[[#This Row],[3 pts]]/Table1[[#This Row],[3pt att]],0)</f>
        <v>0</v>
      </c>
      <c r="O328" s="4">
        <v>2</v>
      </c>
      <c r="P328" s="4">
        <v>0</v>
      </c>
      <c r="Q328" s="4">
        <v>1</v>
      </c>
      <c r="R328" s="4">
        <v>0</v>
      </c>
    </row>
    <row r="329" spans="1:18" x14ac:dyDescent="0.2">
      <c r="A329" s="1">
        <v>46226</v>
      </c>
      <c r="B329" s="6">
        <v>3</v>
      </c>
      <c r="C329" t="s">
        <v>17</v>
      </c>
      <c r="D329" t="s">
        <v>66</v>
      </c>
      <c r="F329" s="6">
        <v>2</v>
      </c>
      <c r="G329" s="4">
        <v>3</v>
      </c>
      <c r="H329" s="4">
        <v>6</v>
      </c>
      <c r="I329" s="4">
        <v>1</v>
      </c>
      <c r="J329" s="7">
        <f>IFERROR(Table1[[#This Row],[2pt FGM]]/Table1[[#This Row],[2pt FGatt]],0)</f>
        <v>0.16666666666666666</v>
      </c>
      <c r="K329" s="4">
        <v>5</v>
      </c>
      <c r="L329" s="4">
        <v>5</v>
      </c>
      <c r="M329" s="4">
        <v>1</v>
      </c>
      <c r="N329" s="8">
        <f>IFERROR(Table1[[#This Row],[3 pts]]/Table1[[#This Row],[3pt att]],0)</f>
        <v>0.2</v>
      </c>
      <c r="O329" s="4">
        <v>2</v>
      </c>
      <c r="P329" s="4">
        <v>0</v>
      </c>
      <c r="Q329" s="4">
        <v>0</v>
      </c>
      <c r="R329" s="4">
        <v>0</v>
      </c>
    </row>
    <row r="330" spans="1:18" x14ac:dyDescent="0.2">
      <c r="A330" s="1">
        <v>46226</v>
      </c>
      <c r="B330" s="6">
        <v>3</v>
      </c>
      <c r="C330" t="s">
        <v>16</v>
      </c>
      <c r="D330" t="s">
        <v>66</v>
      </c>
      <c r="F330" s="6">
        <v>2</v>
      </c>
      <c r="G330" s="4">
        <v>3</v>
      </c>
      <c r="H330" s="4">
        <v>2</v>
      </c>
      <c r="I330" s="4">
        <v>0</v>
      </c>
      <c r="J330" s="7">
        <f>IFERROR(Table1[[#This Row],[2pt FGM]]/Table1[[#This Row],[2pt FGatt]],0)</f>
        <v>0</v>
      </c>
      <c r="K330" s="4">
        <v>0</v>
      </c>
      <c r="L330" s="4">
        <v>1</v>
      </c>
      <c r="M330" s="4">
        <v>0</v>
      </c>
      <c r="N330" s="8">
        <f>IFERROR(Table1[[#This Row],[3 pts]]/Table1[[#This Row],[3pt att]],0)</f>
        <v>0</v>
      </c>
      <c r="O330" s="4">
        <v>7</v>
      </c>
      <c r="P330" s="4">
        <v>0</v>
      </c>
      <c r="Q330" s="4">
        <v>0</v>
      </c>
      <c r="R330" s="4">
        <v>1</v>
      </c>
    </row>
    <row r="331" spans="1:18" x14ac:dyDescent="0.2">
      <c r="A331" s="1">
        <v>46226</v>
      </c>
      <c r="B331" s="6">
        <v>3</v>
      </c>
      <c r="C331" t="s">
        <v>19</v>
      </c>
      <c r="D331" t="s">
        <v>66</v>
      </c>
      <c r="F331" s="11">
        <v>2</v>
      </c>
      <c r="G331" s="4">
        <v>3</v>
      </c>
      <c r="H331" s="4">
        <v>2</v>
      </c>
      <c r="I331" s="4">
        <v>0</v>
      </c>
      <c r="J331" s="7">
        <f>IFERROR(Table1[[#This Row],[2pt FGM]]/Table1[[#This Row],[2pt FGatt]],0)</f>
        <v>0</v>
      </c>
      <c r="K331" s="4">
        <v>0</v>
      </c>
      <c r="L331" s="4">
        <v>4</v>
      </c>
      <c r="M331" s="4">
        <v>0</v>
      </c>
      <c r="N331" s="8">
        <f>IFERROR(Table1[[#This Row],[3 pts]]/Table1[[#This Row],[3pt att]],0)</f>
        <v>0</v>
      </c>
      <c r="O331" s="4">
        <v>3</v>
      </c>
      <c r="P331" s="4">
        <v>1</v>
      </c>
      <c r="Q331" s="4">
        <v>2</v>
      </c>
      <c r="R331" s="4">
        <v>0</v>
      </c>
    </row>
    <row r="332" spans="1:18" x14ac:dyDescent="0.2">
      <c r="A332" s="1">
        <v>46226</v>
      </c>
      <c r="B332" s="6">
        <v>3</v>
      </c>
      <c r="C332" t="s">
        <v>18</v>
      </c>
      <c r="D332" t="s">
        <v>65</v>
      </c>
      <c r="F332" s="11">
        <v>3</v>
      </c>
      <c r="G332" s="4">
        <v>3</v>
      </c>
      <c r="H332" s="4">
        <v>3</v>
      </c>
      <c r="I332" s="4">
        <v>0</v>
      </c>
      <c r="J332" s="7">
        <f>IFERROR(Table1[[#This Row],[2pt FGM]]/Table1[[#This Row],[2pt FGatt]],0)</f>
        <v>0</v>
      </c>
      <c r="K332" s="4">
        <v>0</v>
      </c>
      <c r="L332" s="4">
        <v>1</v>
      </c>
      <c r="M332" s="4">
        <v>0</v>
      </c>
      <c r="N332" s="8">
        <f>IFERROR(Table1[[#This Row],[3 pts]]/Table1[[#This Row],[3pt att]],0)</f>
        <v>0</v>
      </c>
      <c r="O332" s="4">
        <v>0</v>
      </c>
      <c r="P332" s="4">
        <v>2</v>
      </c>
      <c r="Q332" s="4">
        <v>1</v>
      </c>
      <c r="R332" s="4">
        <v>0</v>
      </c>
    </row>
    <row r="333" spans="1:18" x14ac:dyDescent="0.2">
      <c r="A333" s="1">
        <v>46226</v>
      </c>
      <c r="B333" s="6">
        <v>3</v>
      </c>
      <c r="C333" t="s">
        <v>11</v>
      </c>
      <c r="D333" t="s">
        <v>65</v>
      </c>
      <c r="F333" s="11">
        <v>3</v>
      </c>
      <c r="G333" s="4">
        <v>3</v>
      </c>
      <c r="H333" s="4">
        <v>6</v>
      </c>
      <c r="I333" s="4">
        <v>2</v>
      </c>
      <c r="J333" s="7">
        <f>IFERROR(Table1[[#This Row],[2pt FGM]]/Table1[[#This Row],[2pt FGatt]],0)</f>
        <v>0.33333333333333331</v>
      </c>
      <c r="K333" s="4">
        <v>7</v>
      </c>
      <c r="L333" s="4">
        <v>6</v>
      </c>
      <c r="M333" s="4">
        <v>1</v>
      </c>
      <c r="N333" s="8">
        <f>IFERROR(Table1[[#This Row],[3 pts]]/Table1[[#This Row],[3pt att]],0)</f>
        <v>0.16666666666666666</v>
      </c>
      <c r="O333" s="4">
        <v>5</v>
      </c>
      <c r="P333" s="4">
        <v>0</v>
      </c>
      <c r="Q333" s="4">
        <v>1</v>
      </c>
      <c r="R333" s="4">
        <v>1</v>
      </c>
    </row>
    <row r="334" spans="1:18" x14ac:dyDescent="0.2">
      <c r="A334" s="1">
        <v>46226</v>
      </c>
      <c r="B334" s="6">
        <v>3</v>
      </c>
      <c r="C334" t="s">
        <v>20</v>
      </c>
      <c r="D334" t="s">
        <v>65</v>
      </c>
      <c r="F334" s="11">
        <v>3</v>
      </c>
      <c r="G334" s="4">
        <v>3</v>
      </c>
      <c r="H334" s="4">
        <v>1</v>
      </c>
      <c r="I334" s="4">
        <v>1</v>
      </c>
      <c r="J334" s="7">
        <f>IFERROR(Table1[[#This Row],[2pt FGM]]/Table1[[#This Row],[2pt FGatt]],0)</f>
        <v>1</v>
      </c>
      <c r="K334" s="4">
        <v>2</v>
      </c>
      <c r="L334" s="4">
        <v>1</v>
      </c>
      <c r="M334" s="4">
        <v>0</v>
      </c>
      <c r="N334" s="8">
        <f>IFERROR(Table1[[#This Row],[3 pts]]/Table1[[#This Row],[3pt att]],0)</f>
        <v>0</v>
      </c>
      <c r="O334" s="4">
        <v>1</v>
      </c>
      <c r="P334" s="4">
        <v>2</v>
      </c>
      <c r="Q334" s="4">
        <v>1</v>
      </c>
      <c r="R334" s="4">
        <v>0</v>
      </c>
    </row>
    <row r="335" spans="1:18" x14ac:dyDescent="0.2">
      <c r="A335" s="1">
        <v>46226</v>
      </c>
      <c r="B335" s="6">
        <v>3</v>
      </c>
      <c r="C335" t="s">
        <v>7</v>
      </c>
      <c r="D335" t="s">
        <v>65</v>
      </c>
      <c r="F335" s="11">
        <v>3</v>
      </c>
      <c r="G335" s="4">
        <v>3</v>
      </c>
      <c r="H335" s="4">
        <v>4</v>
      </c>
      <c r="I335" s="4">
        <v>3</v>
      </c>
      <c r="J335" s="7">
        <f>IFERROR(Table1[[#This Row],[2pt FGM]]/Table1[[#This Row],[2pt FGatt]],0)</f>
        <v>0.75</v>
      </c>
      <c r="K335" s="4">
        <v>6</v>
      </c>
      <c r="L335" s="4">
        <v>1</v>
      </c>
      <c r="M335" s="4">
        <v>0</v>
      </c>
      <c r="N335" s="8">
        <f>IFERROR(Table1[[#This Row],[3 pts]]/Table1[[#This Row],[3pt att]],0)</f>
        <v>0</v>
      </c>
      <c r="O335" s="4">
        <v>9</v>
      </c>
      <c r="P335" s="4">
        <v>3</v>
      </c>
      <c r="Q335" s="4">
        <v>2</v>
      </c>
      <c r="R335" s="4">
        <v>0</v>
      </c>
    </row>
    <row r="336" spans="1:18" x14ac:dyDescent="0.2">
      <c r="A336" s="1">
        <v>46226</v>
      </c>
      <c r="B336" s="6">
        <v>3</v>
      </c>
      <c r="C336" t="s">
        <v>9</v>
      </c>
      <c r="D336" t="s">
        <v>66</v>
      </c>
      <c r="F336" s="11">
        <v>3</v>
      </c>
      <c r="G336" s="4">
        <v>3</v>
      </c>
      <c r="H336" s="4">
        <v>2</v>
      </c>
      <c r="I336" s="4">
        <v>2</v>
      </c>
      <c r="J336" s="7">
        <f>IFERROR(Table1[[#This Row],[2pt FGM]]/Table1[[#This Row],[2pt FGatt]],0)</f>
        <v>1</v>
      </c>
      <c r="K336" s="4">
        <v>4</v>
      </c>
      <c r="L336" s="4">
        <v>1</v>
      </c>
      <c r="M336" s="4">
        <v>0</v>
      </c>
      <c r="N336" s="8">
        <f>IFERROR(Table1[[#This Row],[3 pts]]/Table1[[#This Row],[3pt att]],0)</f>
        <v>0</v>
      </c>
      <c r="O336" s="4">
        <v>4</v>
      </c>
      <c r="P336" s="4">
        <v>3</v>
      </c>
      <c r="Q336" s="4">
        <v>2</v>
      </c>
      <c r="R336" s="4">
        <v>0</v>
      </c>
    </row>
    <row r="337" spans="1:18" x14ac:dyDescent="0.2">
      <c r="A337" s="1">
        <v>46226</v>
      </c>
      <c r="B337" s="6">
        <v>3</v>
      </c>
      <c r="C337" t="s">
        <v>17</v>
      </c>
      <c r="D337" t="s">
        <v>66</v>
      </c>
      <c r="F337" s="11">
        <v>3</v>
      </c>
      <c r="G337" s="4">
        <v>3</v>
      </c>
      <c r="H337" s="4">
        <v>1</v>
      </c>
      <c r="I337" s="4">
        <v>0</v>
      </c>
      <c r="J337" s="7">
        <f>IFERROR(Table1[[#This Row],[2pt FGM]]/Table1[[#This Row],[2pt FGatt]],0)</f>
        <v>0</v>
      </c>
      <c r="K337" s="4">
        <v>0</v>
      </c>
      <c r="L337" s="4">
        <v>3</v>
      </c>
      <c r="M337" s="4">
        <v>0</v>
      </c>
      <c r="N337" s="8">
        <f>IFERROR(Table1[[#This Row],[3 pts]]/Table1[[#This Row],[3pt att]],0)</f>
        <v>0</v>
      </c>
      <c r="O337" s="4">
        <v>3</v>
      </c>
      <c r="P337" s="4">
        <v>1</v>
      </c>
      <c r="Q337" s="4">
        <v>3</v>
      </c>
      <c r="R337" s="4">
        <v>0</v>
      </c>
    </row>
    <row r="338" spans="1:18" x14ac:dyDescent="0.2">
      <c r="A338" s="1">
        <v>46226</v>
      </c>
      <c r="B338" s="6">
        <v>3</v>
      </c>
      <c r="C338" t="s">
        <v>16</v>
      </c>
      <c r="D338" t="s">
        <v>66</v>
      </c>
      <c r="F338" s="11">
        <v>3</v>
      </c>
      <c r="G338" s="4">
        <v>3</v>
      </c>
      <c r="H338" s="4">
        <v>5</v>
      </c>
      <c r="I338" s="4">
        <v>2</v>
      </c>
      <c r="J338" s="7">
        <f>IFERROR(Table1[[#This Row],[2pt FGM]]/Table1[[#This Row],[2pt FGatt]],0)</f>
        <v>0.4</v>
      </c>
      <c r="K338" s="4">
        <v>4</v>
      </c>
      <c r="L338" s="4">
        <v>0</v>
      </c>
      <c r="M338" s="4">
        <v>0</v>
      </c>
      <c r="N338" s="8">
        <f>IFERROR(Table1[[#This Row],[3 pts]]/Table1[[#This Row],[3pt att]],0)</f>
        <v>0</v>
      </c>
      <c r="O338" s="4">
        <v>6</v>
      </c>
      <c r="P338" s="4">
        <v>0</v>
      </c>
      <c r="Q338" s="4">
        <v>0</v>
      </c>
      <c r="R338" s="4">
        <v>1</v>
      </c>
    </row>
    <row r="339" spans="1:18" x14ac:dyDescent="0.2">
      <c r="A339" s="1">
        <v>46226</v>
      </c>
      <c r="B339" s="6">
        <v>3</v>
      </c>
      <c r="C339" t="s">
        <v>19</v>
      </c>
      <c r="D339" t="s">
        <v>66</v>
      </c>
      <c r="F339" s="11">
        <v>3</v>
      </c>
      <c r="G339" s="4">
        <v>3</v>
      </c>
      <c r="H339" s="4">
        <v>1</v>
      </c>
      <c r="I339" s="4">
        <v>1</v>
      </c>
      <c r="J339" s="7">
        <f>IFERROR(Table1[[#This Row],[2pt FGM]]/Table1[[#This Row],[2pt FGatt]],0)</f>
        <v>1</v>
      </c>
      <c r="K339" s="4">
        <v>8</v>
      </c>
      <c r="L339" s="4">
        <v>7</v>
      </c>
      <c r="M339" s="4">
        <v>2</v>
      </c>
      <c r="N339" s="8">
        <f>IFERROR(Table1[[#This Row],[3 pts]]/Table1[[#This Row],[3pt att]],0)</f>
        <v>0.2857142857142857</v>
      </c>
      <c r="O339" s="4">
        <v>4</v>
      </c>
      <c r="P339" s="4">
        <v>1</v>
      </c>
      <c r="Q339" s="4">
        <v>2</v>
      </c>
      <c r="R339" s="4">
        <v>1</v>
      </c>
    </row>
    <row r="340" spans="1:18" x14ac:dyDescent="0.2">
      <c r="A340" s="1">
        <v>46226</v>
      </c>
      <c r="B340" s="6">
        <v>3</v>
      </c>
      <c r="C340" t="s">
        <v>18</v>
      </c>
      <c r="D340" t="s">
        <v>65</v>
      </c>
      <c r="F340" s="11">
        <v>4</v>
      </c>
      <c r="G340" s="4">
        <v>3</v>
      </c>
      <c r="H340" s="4">
        <v>2</v>
      </c>
      <c r="I340" s="4">
        <v>2</v>
      </c>
      <c r="J340" s="7">
        <f>IFERROR(Table1[[#This Row],[2pt FGM]]/Table1[[#This Row],[2pt FGatt]],0)</f>
        <v>1</v>
      </c>
      <c r="K340" s="4">
        <v>7</v>
      </c>
      <c r="L340" s="4">
        <v>7</v>
      </c>
      <c r="M340" s="4">
        <v>1</v>
      </c>
      <c r="N340" s="8">
        <f>IFERROR(Table1[[#This Row],[3 pts]]/Table1[[#This Row],[3pt att]],0)</f>
        <v>0.14285714285714285</v>
      </c>
      <c r="O340" s="4">
        <v>1</v>
      </c>
      <c r="P340" s="4">
        <v>1</v>
      </c>
      <c r="Q340" s="4">
        <v>0</v>
      </c>
      <c r="R340" s="4">
        <v>0</v>
      </c>
    </row>
    <row r="341" spans="1:18" x14ac:dyDescent="0.2">
      <c r="A341" s="1">
        <v>46226</v>
      </c>
      <c r="B341" s="6">
        <v>3</v>
      </c>
      <c r="C341" t="s">
        <v>11</v>
      </c>
      <c r="D341" t="s">
        <v>65</v>
      </c>
      <c r="F341" s="11">
        <v>4</v>
      </c>
      <c r="G341" s="4">
        <v>3</v>
      </c>
      <c r="H341" s="4">
        <v>2</v>
      </c>
      <c r="I341" s="4">
        <v>1</v>
      </c>
      <c r="J341" s="7">
        <f>IFERROR(Table1[[#This Row],[2pt FGM]]/Table1[[#This Row],[2pt FGatt]],0)</f>
        <v>0.5</v>
      </c>
      <c r="K341" s="4">
        <v>2</v>
      </c>
      <c r="L341" s="4">
        <v>1</v>
      </c>
      <c r="M341" s="4">
        <v>0</v>
      </c>
      <c r="N341" s="8">
        <f>IFERROR(Table1[[#This Row],[3 pts]]/Table1[[#This Row],[3pt att]],0)</f>
        <v>0</v>
      </c>
      <c r="O341" s="4">
        <v>1</v>
      </c>
      <c r="P341" s="4">
        <v>1</v>
      </c>
      <c r="Q341" s="4">
        <v>1</v>
      </c>
      <c r="R341" s="4">
        <v>0</v>
      </c>
    </row>
    <row r="342" spans="1:18" x14ac:dyDescent="0.2">
      <c r="A342" s="1">
        <v>46226</v>
      </c>
      <c r="B342" s="6">
        <v>3</v>
      </c>
      <c r="C342" t="s">
        <v>20</v>
      </c>
      <c r="D342" t="s">
        <v>65</v>
      </c>
      <c r="F342" s="11">
        <v>4</v>
      </c>
      <c r="G342" s="4">
        <v>3</v>
      </c>
      <c r="H342" s="4">
        <v>3</v>
      </c>
      <c r="I342" s="4">
        <v>0</v>
      </c>
      <c r="J342" s="7">
        <f>IFERROR(Table1[[#This Row],[2pt FGM]]/Table1[[#This Row],[2pt FGatt]],0)</f>
        <v>0</v>
      </c>
      <c r="K342" s="4">
        <v>0</v>
      </c>
      <c r="L342" s="4">
        <v>0</v>
      </c>
      <c r="M342" s="4">
        <v>0</v>
      </c>
      <c r="N342" s="8">
        <f>IFERROR(Table1[[#This Row],[3 pts]]/Table1[[#This Row],[3pt att]],0)</f>
        <v>0</v>
      </c>
      <c r="O342" s="4">
        <v>3</v>
      </c>
      <c r="P342" s="4">
        <v>1</v>
      </c>
      <c r="Q342" s="4">
        <v>1</v>
      </c>
      <c r="R342" s="4">
        <v>0</v>
      </c>
    </row>
    <row r="343" spans="1:18" x14ac:dyDescent="0.2">
      <c r="A343" s="1">
        <v>46226</v>
      </c>
      <c r="B343" s="6">
        <v>3</v>
      </c>
      <c r="C343" t="s">
        <v>7</v>
      </c>
      <c r="D343" t="s">
        <v>65</v>
      </c>
      <c r="F343" s="11">
        <v>4</v>
      </c>
      <c r="G343" s="4">
        <v>3</v>
      </c>
      <c r="H343" s="4">
        <v>3</v>
      </c>
      <c r="I343" s="4">
        <v>1</v>
      </c>
      <c r="J343" s="7">
        <f>IFERROR(Table1[[#This Row],[2pt FGM]]/Table1[[#This Row],[2pt FGatt]],0)</f>
        <v>0.33333333333333331</v>
      </c>
      <c r="K343" s="4">
        <v>2</v>
      </c>
      <c r="L343" s="4">
        <v>0</v>
      </c>
      <c r="M343" s="4">
        <v>0</v>
      </c>
      <c r="N343" s="8">
        <f>IFERROR(Table1[[#This Row],[3 pts]]/Table1[[#This Row],[3pt att]],0)</f>
        <v>0</v>
      </c>
      <c r="O343" s="4">
        <v>7</v>
      </c>
      <c r="P343" s="4">
        <v>3</v>
      </c>
      <c r="Q343" s="4">
        <v>1</v>
      </c>
      <c r="R343" s="4">
        <v>0</v>
      </c>
    </row>
    <row r="344" spans="1:18" x14ac:dyDescent="0.2">
      <c r="A344" s="1">
        <v>46226</v>
      </c>
      <c r="B344" s="6">
        <v>3</v>
      </c>
      <c r="C344" t="s">
        <v>9</v>
      </c>
      <c r="D344" t="s">
        <v>66</v>
      </c>
      <c r="F344" s="11">
        <v>4</v>
      </c>
      <c r="G344" s="4">
        <v>3</v>
      </c>
      <c r="H344" s="4">
        <v>2</v>
      </c>
      <c r="I344" s="4">
        <v>2</v>
      </c>
      <c r="J344" s="7">
        <f>IFERROR(Table1[[#This Row],[2pt FGM]]/Table1[[#This Row],[2pt FGatt]],0)</f>
        <v>1</v>
      </c>
      <c r="K344" s="4">
        <v>4</v>
      </c>
      <c r="L344" s="4">
        <v>1</v>
      </c>
      <c r="M344" s="4">
        <v>0</v>
      </c>
      <c r="N344" s="8">
        <f>IFERROR(Table1[[#This Row],[3 pts]]/Table1[[#This Row],[3pt att]],0)</f>
        <v>0</v>
      </c>
      <c r="O344" s="4">
        <v>2</v>
      </c>
      <c r="P344" s="4">
        <v>1</v>
      </c>
      <c r="Q344" s="4">
        <v>3</v>
      </c>
      <c r="R344" s="4">
        <v>0</v>
      </c>
    </row>
    <row r="345" spans="1:18" x14ac:dyDescent="0.2">
      <c r="A345" s="1">
        <v>46226</v>
      </c>
      <c r="B345" s="6">
        <v>3</v>
      </c>
      <c r="C345" t="s">
        <v>17</v>
      </c>
      <c r="D345" t="s">
        <v>66</v>
      </c>
      <c r="F345" s="11">
        <v>4</v>
      </c>
      <c r="G345" s="4">
        <v>3</v>
      </c>
      <c r="H345" s="4">
        <v>1</v>
      </c>
      <c r="I345" s="4">
        <v>0</v>
      </c>
      <c r="J345" s="7">
        <f>IFERROR(Table1[[#This Row],[2pt FGM]]/Table1[[#This Row],[2pt FGatt]],0)</f>
        <v>0</v>
      </c>
      <c r="K345" s="4">
        <v>0</v>
      </c>
      <c r="L345" s="4">
        <v>2</v>
      </c>
      <c r="M345" s="4">
        <v>0</v>
      </c>
      <c r="N345" s="8">
        <f>IFERROR(Table1[[#This Row],[3 pts]]/Table1[[#This Row],[3pt att]],0)</f>
        <v>0</v>
      </c>
      <c r="O345" s="4">
        <v>0</v>
      </c>
      <c r="P345" s="4">
        <v>2</v>
      </c>
      <c r="Q345" s="4">
        <v>3</v>
      </c>
      <c r="R345" s="4">
        <v>0</v>
      </c>
    </row>
    <row r="346" spans="1:18" x14ac:dyDescent="0.2">
      <c r="A346" s="1">
        <v>46226</v>
      </c>
      <c r="B346" s="6">
        <v>3</v>
      </c>
      <c r="C346" t="s">
        <v>16</v>
      </c>
      <c r="D346" t="s">
        <v>66</v>
      </c>
      <c r="F346" s="11">
        <v>4</v>
      </c>
      <c r="G346" s="4">
        <v>3</v>
      </c>
      <c r="H346" s="4">
        <v>5</v>
      </c>
      <c r="I346" s="4">
        <v>2</v>
      </c>
      <c r="J346" s="7">
        <f>IFERROR(Table1[[#This Row],[2pt FGM]]/Table1[[#This Row],[2pt FGatt]],0)</f>
        <v>0.4</v>
      </c>
      <c r="K346" s="4">
        <v>7</v>
      </c>
      <c r="L346" s="4">
        <v>1</v>
      </c>
      <c r="M346" s="4">
        <v>1</v>
      </c>
      <c r="N346" s="8">
        <f>IFERROR(Table1[[#This Row],[3 pts]]/Table1[[#This Row],[3pt att]],0)</f>
        <v>1</v>
      </c>
      <c r="O346" s="4">
        <v>3</v>
      </c>
      <c r="P346" s="4">
        <v>1</v>
      </c>
      <c r="Q346" s="4">
        <v>1</v>
      </c>
      <c r="R346" s="4">
        <v>1</v>
      </c>
    </row>
    <row r="347" spans="1:18" x14ac:dyDescent="0.2">
      <c r="A347" s="1">
        <v>46226</v>
      </c>
      <c r="B347" s="6">
        <v>3</v>
      </c>
      <c r="C347" t="s">
        <v>19</v>
      </c>
      <c r="D347" t="s">
        <v>66</v>
      </c>
      <c r="F347" s="11">
        <v>4</v>
      </c>
      <c r="G347" s="4">
        <v>3</v>
      </c>
      <c r="H347" s="4">
        <v>0</v>
      </c>
      <c r="I347" s="4">
        <v>0</v>
      </c>
      <c r="J347" s="7">
        <f>IFERROR(Table1[[#This Row],[2pt FGM]]/Table1[[#This Row],[2pt FGatt]],0)</f>
        <v>0</v>
      </c>
      <c r="K347" s="4">
        <v>12</v>
      </c>
      <c r="L347" s="4">
        <v>7</v>
      </c>
      <c r="M347" s="4">
        <v>4</v>
      </c>
      <c r="N347" s="8">
        <f>IFERROR(Table1[[#This Row],[3 pts]]/Table1[[#This Row],[3pt att]],0)</f>
        <v>0.5714285714285714</v>
      </c>
      <c r="O347" s="4">
        <v>3</v>
      </c>
      <c r="P347" s="4">
        <v>2</v>
      </c>
      <c r="Q347" s="4">
        <v>2</v>
      </c>
      <c r="R347" s="4">
        <v>1</v>
      </c>
    </row>
    <row r="348" spans="1:18" x14ac:dyDescent="0.2">
      <c r="A348" s="1">
        <v>46226</v>
      </c>
      <c r="B348" s="6">
        <v>3</v>
      </c>
      <c r="C348" t="s">
        <v>18</v>
      </c>
      <c r="D348" t="s">
        <v>65</v>
      </c>
      <c r="F348" s="11">
        <v>1</v>
      </c>
      <c r="G348" s="4">
        <v>4</v>
      </c>
      <c r="H348" s="4">
        <v>2</v>
      </c>
      <c r="I348" s="4">
        <v>0</v>
      </c>
      <c r="J348" s="7">
        <f>IFERROR(Table1[[#This Row],[2pt FGM]]/Table1[[#This Row],[2pt FGatt]],0)</f>
        <v>0</v>
      </c>
      <c r="K348" s="4">
        <v>0</v>
      </c>
      <c r="L348" s="4">
        <v>7</v>
      </c>
      <c r="M348" s="4">
        <v>0</v>
      </c>
      <c r="N348" s="8">
        <f>IFERROR(Table1[[#This Row],[3 pts]]/Table1[[#This Row],[3pt att]],0)</f>
        <v>0</v>
      </c>
      <c r="O348" s="4">
        <v>0</v>
      </c>
      <c r="P348" s="4">
        <v>4</v>
      </c>
      <c r="Q348" s="4">
        <v>0</v>
      </c>
      <c r="R348" s="4">
        <v>0</v>
      </c>
    </row>
    <row r="349" spans="1:18" x14ac:dyDescent="0.2">
      <c r="A349" s="1">
        <v>46226</v>
      </c>
      <c r="B349" s="6">
        <v>3</v>
      </c>
      <c r="C349" t="s">
        <v>11</v>
      </c>
      <c r="D349" t="s">
        <v>65</v>
      </c>
      <c r="F349" s="11">
        <v>1</v>
      </c>
      <c r="G349" s="4">
        <v>4</v>
      </c>
      <c r="H349" s="4">
        <v>7</v>
      </c>
      <c r="I349" s="4">
        <v>1</v>
      </c>
      <c r="J349" s="7">
        <f>IFERROR(Table1[[#This Row],[2pt FGM]]/Table1[[#This Row],[2pt FGatt]],0)</f>
        <v>0.14285714285714285</v>
      </c>
      <c r="K349" s="4">
        <v>2</v>
      </c>
      <c r="L349" s="4">
        <v>1</v>
      </c>
      <c r="M349" s="4">
        <v>0</v>
      </c>
      <c r="N349" s="8">
        <f>IFERROR(Table1[[#This Row],[3 pts]]/Table1[[#This Row],[3pt att]],0)</f>
        <v>0</v>
      </c>
      <c r="O349" s="4">
        <v>5</v>
      </c>
      <c r="P349" s="4">
        <v>1</v>
      </c>
      <c r="Q349" s="4">
        <v>1</v>
      </c>
      <c r="R349" s="4">
        <v>0</v>
      </c>
    </row>
    <row r="350" spans="1:18" x14ac:dyDescent="0.2">
      <c r="A350" s="1">
        <v>46226</v>
      </c>
      <c r="B350" s="6">
        <v>3</v>
      </c>
      <c r="C350" t="s">
        <v>20</v>
      </c>
      <c r="D350" t="s">
        <v>65</v>
      </c>
      <c r="F350" s="11">
        <v>1</v>
      </c>
      <c r="G350" s="4">
        <v>4</v>
      </c>
      <c r="H350" s="4">
        <v>3</v>
      </c>
      <c r="I350" s="4">
        <v>0</v>
      </c>
      <c r="J350" s="7">
        <f>IFERROR(Table1[[#This Row],[2pt FGM]]/Table1[[#This Row],[2pt FGatt]],0)</f>
        <v>0</v>
      </c>
      <c r="K350" s="4">
        <v>0</v>
      </c>
      <c r="L350" s="4">
        <v>3</v>
      </c>
      <c r="M350" s="4">
        <v>0</v>
      </c>
      <c r="N350" s="8">
        <f>IFERROR(Table1[[#This Row],[3 pts]]/Table1[[#This Row],[3pt att]],0)</f>
        <v>0</v>
      </c>
      <c r="O350" s="4">
        <v>1</v>
      </c>
      <c r="P350" s="4">
        <v>1</v>
      </c>
      <c r="Q350" s="4">
        <v>0</v>
      </c>
      <c r="R350" s="4">
        <v>0</v>
      </c>
    </row>
    <row r="351" spans="1:18" x14ac:dyDescent="0.2">
      <c r="A351" s="1">
        <v>46226</v>
      </c>
      <c r="B351" s="6">
        <v>3</v>
      </c>
      <c r="C351" t="s">
        <v>7</v>
      </c>
      <c r="D351" t="s">
        <v>65</v>
      </c>
      <c r="F351" s="11">
        <v>1</v>
      </c>
      <c r="G351" s="4">
        <v>4</v>
      </c>
      <c r="H351" s="4">
        <v>3</v>
      </c>
      <c r="I351" s="4">
        <v>2</v>
      </c>
      <c r="J351" s="7">
        <f>IFERROR(Table1[[#This Row],[2pt FGM]]/Table1[[#This Row],[2pt FGatt]],0)</f>
        <v>0.66666666666666663</v>
      </c>
      <c r="K351" s="4">
        <v>4</v>
      </c>
      <c r="L351" s="4">
        <v>2</v>
      </c>
      <c r="M351" s="4">
        <v>0</v>
      </c>
      <c r="N351" s="8">
        <f>IFERROR(Table1[[#This Row],[3 pts]]/Table1[[#This Row],[3pt att]],0)</f>
        <v>0</v>
      </c>
      <c r="O351" s="4">
        <v>10</v>
      </c>
      <c r="P351" s="4">
        <v>6</v>
      </c>
      <c r="Q351" s="4">
        <v>0</v>
      </c>
      <c r="R351" s="4">
        <v>0</v>
      </c>
    </row>
    <row r="352" spans="1:18" x14ac:dyDescent="0.2">
      <c r="A352" s="1">
        <v>46226</v>
      </c>
      <c r="B352" s="6">
        <v>3</v>
      </c>
      <c r="C352" t="s">
        <v>9</v>
      </c>
      <c r="D352" t="s">
        <v>66</v>
      </c>
      <c r="F352" s="11">
        <v>1</v>
      </c>
      <c r="G352" s="4">
        <v>4</v>
      </c>
      <c r="H352" s="4">
        <v>2</v>
      </c>
      <c r="I352" s="4">
        <v>1</v>
      </c>
      <c r="J352" s="7">
        <f>IFERROR(Table1[[#This Row],[2pt FGM]]/Table1[[#This Row],[2pt FGatt]],0)</f>
        <v>0.5</v>
      </c>
      <c r="K352" s="4">
        <v>2</v>
      </c>
      <c r="L352" s="4">
        <v>0</v>
      </c>
      <c r="M352" s="4">
        <v>0</v>
      </c>
      <c r="N352" s="8">
        <f>IFERROR(Table1[[#This Row],[3 pts]]/Table1[[#This Row],[3pt att]],0)</f>
        <v>0</v>
      </c>
      <c r="O352" s="4">
        <v>3</v>
      </c>
      <c r="P352" s="4">
        <v>3</v>
      </c>
      <c r="Q352" s="4">
        <v>2</v>
      </c>
      <c r="R352" s="4">
        <v>1</v>
      </c>
    </row>
    <row r="353" spans="1:18" x14ac:dyDescent="0.2">
      <c r="A353" s="1">
        <v>46226</v>
      </c>
      <c r="B353" s="6">
        <v>3</v>
      </c>
      <c r="C353" t="s">
        <v>17</v>
      </c>
      <c r="D353" t="s">
        <v>66</v>
      </c>
      <c r="F353" s="11">
        <v>1</v>
      </c>
      <c r="G353" s="4">
        <v>4</v>
      </c>
      <c r="H353" s="4">
        <v>2</v>
      </c>
      <c r="I353" s="4">
        <v>1</v>
      </c>
      <c r="J353" s="7">
        <f>IFERROR(Table1[[#This Row],[2pt FGM]]/Table1[[#This Row],[2pt FGatt]],0)</f>
        <v>0.5</v>
      </c>
      <c r="K353" s="4">
        <v>5</v>
      </c>
      <c r="L353" s="4">
        <v>5</v>
      </c>
      <c r="M353" s="4">
        <v>1</v>
      </c>
      <c r="N353" s="8">
        <f>IFERROR(Table1[[#This Row],[3 pts]]/Table1[[#This Row],[3pt att]],0)</f>
        <v>0.2</v>
      </c>
      <c r="O353" s="4">
        <v>5</v>
      </c>
      <c r="P353" s="4">
        <v>1</v>
      </c>
      <c r="Q353" s="4">
        <v>0</v>
      </c>
      <c r="R353" s="4">
        <v>0</v>
      </c>
    </row>
    <row r="354" spans="1:18" x14ac:dyDescent="0.2">
      <c r="A354" s="1">
        <v>46226</v>
      </c>
      <c r="B354" s="6">
        <v>3</v>
      </c>
      <c r="C354" t="s">
        <v>16</v>
      </c>
      <c r="D354" t="s">
        <v>66</v>
      </c>
      <c r="F354" s="11">
        <v>1</v>
      </c>
      <c r="G354" s="4">
        <v>4</v>
      </c>
      <c r="H354" s="4">
        <v>4</v>
      </c>
      <c r="I354" s="4">
        <v>0</v>
      </c>
      <c r="J354" s="7">
        <f>IFERROR(Table1[[#This Row],[2pt FGM]]/Table1[[#This Row],[2pt FGatt]],0)</f>
        <v>0</v>
      </c>
      <c r="K354" s="4">
        <v>0</v>
      </c>
      <c r="L354" s="4">
        <v>0</v>
      </c>
      <c r="M354" s="4">
        <v>0</v>
      </c>
      <c r="N354" s="8">
        <f>IFERROR(Table1[[#This Row],[3 pts]]/Table1[[#This Row],[3pt att]],0)</f>
        <v>0</v>
      </c>
      <c r="O354" s="4">
        <v>9</v>
      </c>
      <c r="P354" s="4">
        <v>0</v>
      </c>
      <c r="Q354" s="4">
        <v>2</v>
      </c>
      <c r="R354" s="4">
        <v>0</v>
      </c>
    </row>
    <row r="355" spans="1:18" x14ac:dyDescent="0.2">
      <c r="A355" s="1">
        <v>46226</v>
      </c>
      <c r="B355" s="6">
        <v>3</v>
      </c>
      <c r="C355" t="s">
        <v>19</v>
      </c>
      <c r="D355" t="s">
        <v>66</v>
      </c>
      <c r="F355" s="11">
        <v>1</v>
      </c>
      <c r="G355" s="4">
        <v>4</v>
      </c>
      <c r="H355" s="4">
        <v>3</v>
      </c>
      <c r="I355" s="4">
        <v>2</v>
      </c>
      <c r="J355" s="7">
        <f>IFERROR(Table1[[#This Row],[2pt FGM]]/Table1[[#This Row],[2pt FGatt]],0)</f>
        <v>0.66666666666666663</v>
      </c>
      <c r="K355" s="4">
        <v>10</v>
      </c>
      <c r="L355" s="4">
        <v>7</v>
      </c>
      <c r="M355" s="4">
        <v>2</v>
      </c>
      <c r="N355" s="8">
        <f>IFERROR(Table1[[#This Row],[3 pts]]/Table1[[#This Row],[3pt att]],0)</f>
        <v>0.2857142857142857</v>
      </c>
      <c r="O355" s="4">
        <v>4</v>
      </c>
      <c r="P355" s="4">
        <v>2</v>
      </c>
      <c r="Q355" s="4">
        <v>1</v>
      </c>
      <c r="R355" s="4">
        <v>0</v>
      </c>
    </row>
    <row r="356" spans="1:18" x14ac:dyDescent="0.2">
      <c r="A356" s="1">
        <v>46226</v>
      </c>
      <c r="B356" s="6">
        <v>3</v>
      </c>
      <c r="C356" t="s">
        <v>18</v>
      </c>
      <c r="D356" t="s">
        <v>65</v>
      </c>
      <c r="F356" s="11">
        <v>2</v>
      </c>
      <c r="G356" s="4">
        <v>4</v>
      </c>
      <c r="H356" s="4">
        <v>1</v>
      </c>
      <c r="I356" s="4">
        <v>1</v>
      </c>
      <c r="J356" s="7">
        <f>IFERROR(Table1[[#This Row],[2pt FGM]]/Table1[[#This Row],[2pt FGatt]],0)</f>
        <v>1</v>
      </c>
      <c r="K356" s="4">
        <v>8</v>
      </c>
      <c r="L356" s="4">
        <v>6</v>
      </c>
      <c r="M356" s="4">
        <v>2</v>
      </c>
      <c r="N356" s="8">
        <f>IFERROR(Table1[[#This Row],[3 pts]]/Table1[[#This Row],[3pt att]],0)</f>
        <v>0.33333333333333331</v>
      </c>
      <c r="O356" s="4">
        <v>0</v>
      </c>
      <c r="P356" s="4">
        <v>0</v>
      </c>
      <c r="Q356" s="4">
        <v>0</v>
      </c>
      <c r="R356" s="4">
        <v>0</v>
      </c>
    </row>
    <row r="357" spans="1:18" x14ac:dyDescent="0.2">
      <c r="A357" s="1">
        <v>46226</v>
      </c>
      <c r="B357" s="6">
        <v>3</v>
      </c>
      <c r="C357" t="s">
        <v>11</v>
      </c>
      <c r="D357" t="s">
        <v>65</v>
      </c>
      <c r="F357" s="11">
        <v>2</v>
      </c>
      <c r="G357" s="4">
        <v>4</v>
      </c>
      <c r="H357" s="4">
        <v>4</v>
      </c>
      <c r="I357" s="4">
        <v>1</v>
      </c>
      <c r="J357" s="7">
        <f>IFERROR(Table1[[#This Row],[2pt FGM]]/Table1[[#This Row],[2pt FGatt]],0)</f>
        <v>0.25</v>
      </c>
      <c r="K357" s="4">
        <v>2</v>
      </c>
      <c r="L357" s="4">
        <v>1</v>
      </c>
      <c r="M357" s="4">
        <v>0</v>
      </c>
      <c r="N357" s="8">
        <f>IFERROR(Table1[[#This Row],[3 pts]]/Table1[[#This Row],[3pt att]],0)</f>
        <v>0</v>
      </c>
      <c r="O357" s="4">
        <v>3</v>
      </c>
      <c r="P357" s="4">
        <v>4</v>
      </c>
      <c r="Q357" s="4">
        <v>4</v>
      </c>
      <c r="R357" s="4">
        <v>0</v>
      </c>
    </row>
    <row r="358" spans="1:18" x14ac:dyDescent="0.2">
      <c r="A358" s="1">
        <v>46226</v>
      </c>
      <c r="B358" s="6">
        <v>3</v>
      </c>
      <c r="C358" t="s">
        <v>20</v>
      </c>
      <c r="D358" t="s">
        <v>65</v>
      </c>
      <c r="F358" s="11">
        <v>2</v>
      </c>
      <c r="G358" s="4">
        <v>4</v>
      </c>
      <c r="H358" s="4">
        <v>4</v>
      </c>
      <c r="I358" s="4">
        <v>1</v>
      </c>
      <c r="J358" s="7">
        <f>IFERROR(Table1[[#This Row],[2pt FGM]]/Table1[[#This Row],[2pt FGatt]],0)</f>
        <v>0.25</v>
      </c>
      <c r="K358" s="4">
        <v>2</v>
      </c>
      <c r="L358" s="4">
        <v>0</v>
      </c>
      <c r="M358" s="4">
        <v>0</v>
      </c>
      <c r="N358" s="8">
        <f>IFERROR(Table1[[#This Row],[3 pts]]/Table1[[#This Row],[3pt att]],0)</f>
        <v>0</v>
      </c>
      <c r="O358" s="4">
        <v>3</v>
      </c>
      <c r="P358" s="4">
        <v>2</v>
      </c>
      <c r="Q358" s="4">
        <v>1</v>
      </c>
      <c r="R358" s="4">
        <v>0</v>
      </c>
    </row>
    <row r="359" spans="1:18" x14ac:dyDescent="0.2">
      <c r="A359" s="1">
        <v>46226</v>
      </c>
      <c r="B359" s="6">
        <v>3</v>
      </c>
      <c r="C359" t="s">
        <v>7</v>
      </c>
      <c r="D359" t="s">
        <v>65</v>
      </c>
      <c r="F359" s="11">
        <v>2</v>
      </c>
      <c r="G359" s="4">
        <v>4</v>
      </c>
      <c r="H359" s="4">
        <v>3</v>
      </c>
      <c r="I359" s="4">
        <v>1</v>
      </c>
      <c r="J359" s="7">
        <f>IFERROR(Table1[[#This Row],[2pt FGM]]/Table1[[#This Row],[2pt FGatt]],0)</f>
        <v>0.33333333333333331</v>
      </c>
      <c r="K359" s="4">
        <v>2</v>
      </c>
      <c r="L359" s="4">
        <v>1</v>
      </c>
      <c r="M359" s="4">
        <v>0</v>
      </c>
      <c r="N359" s="8">
        <f>IFERROR(Table1[[#This Row],[3 pts]]/Table1[[#This Row],[3pt att]],0)</f>
        <v>0</v>
      </c>
      <c r="O359" s="4">
        <v>10</v>
      </c>
      <c r="P359" s="4">
        <v>6</v>
      </c>
      <c r="Q359" s="4">
        <v>0</v>
      </c>
      <c r="R359" s="4">
        <v>0</v>
      </c>
    </row>
    <row r="360" spans="1:18" x14ac:dyDescent="0.2">
      <c r="A360" s="1">
        <v>46226</v>
      </c>
      <c r="B360" s="6">
        <v>3</v>
      </c>
      <c r="C360" t="s">
        <v>9</v>
      </c>
      <c r="D360" t="s">
        <v>66</v>
      </c>
      <c r="F360" s="11">
        <v>2</v>
      </c>
      <c r="G360" s="4">
        <v>4</v>
      </c>
      <c r="H360" s="4">
        <v>0</v>
      </c>
      <c r="I360" s="4">
        <v>0</v>
      </c>
      <c r="J360" s="7">
        <f>IFERROR(Table1[[#This Row],[2pt FGM]]/Table1[[#This Row],[2pt FGatt]],0)</f>
        <v>0</v>
      </c>
      <c r="K360" s="4">
        <v>3</v>
      </c>
      <c r="L360" s="4">
        <v>3</v>
      </c>
      <c r="M360" s="4">
        <v>1</v>
      </c>
      <c r="N360" s="8">
        <f>IFERROR(Table1[[#This Row],[3 pts]]/Table1[[#This Row],[3pt att]],0)</f>
        <v>0.33333333333333331</v>
      </c>
      <c r="O360" s="4">
        <v>0</v>
      </c>
      <c r="P360" s="4">
        <v>3</v>
      </c>
      <c r="Q360" s="4">
        <v>0</v>
      </c>
      <c r="R360" s="4">
        <v>0</v>
      </c>
    </row>
    <row r="361" spans="1:18" x14ac:dyDescent="0.2">
      <c r="A361" s="1">
        <v>46226</v>
      </c>
      <c r="B361" s="6">
        <v>3</v>
      </c>
      <c r="C361" t="s">
        <v>17</v>
      </c>
      <c r="D361" t="s">
        <v>66</v>
      </c>
      <c r="F361" s="11">
        <v>2</v>
      </c>
      <c r="G361" s="4">
        <v>4</v>
      </c>
      <c r="H361" s="4">
        <v>2</v>
      </c>
      <c r="I361" s="4">
        <v>0</v>
      </c>
      <c r="J361" s="7">
        <f>IFERROR(Table1[[#This Row],[2pt FGM]]/Table1[[#This Row],[2pt FGatt]],0)</f>
        <v>0</v>
      </c>
      <c r="K361" s="4">
        <v>0</v>
      </c>
      <c r="L361" s="4">
        <v>1</v>
      </c>
      <c r="M361" s="4">
        <v>0</v>
      </c>
      <c r="N361" s="8">
        <f>IFERROR(Table1[[#This Row],[3 pts]]/Table1[[#This Row],[3pt att]],0)</f>
        <v>0</v>
      </c>
      <c r="O361" s="4">
        <v>1</v>
      </c>
      <c r="P361" s="4">
        <v>0</v>
      </c>
      <c r="Q361" s="4">
        <v>0</v>
      </c>
      <c r="R361" s="4">
        <v>0</v>
      </c>
    </row>
    <row r="362" spans="1:18" x14ac:dyDescent="0.2">
      <c r="A362" s="1">
        <v>46226</v>
      </c>
      <c r="B362" s="6">
        <v>3</v>
      </c>
      <c r="C362" t="s">
        <v>16</v>
      </c>
      <c r="D362" t="s">
        <v>66</v>
      </c>
      <c r="F362" s="11">
        <v>2</v>
      </c>
      <c r="G362" s="4">
        <v>4</v>
      </c>
      <c r="H362" s="4">
        <v>5</v>
      </c>
      <c r="I362" s="4">
        <v>1</v>
      </c>
      <c r="J362" s="7">
        <f>IFERROR(Table1[[#This Row],[2pt FGM]]/Table1[[#This Row],[2pt FGatt]],0)</f>
        <v>0.2</v>
      </c>
      <c r="K362" s="4">
        <v>2</v>
      </c>
      <c r="L362" s="4">
        <v>0</v>
      </c>
      <c r="M362" s="4">
        <v>0</v>
      </c>
      <c r="N362" s="8">
        <f>IFERROR(Table1[[#This Row],[3 pts]]/Table1[[#This Row],[3pt att]],0)</f>
        <v>0</v>
      </c>
      <c r="O362" s="4">
        <v>6</v>
      </c>
      <c r="P362" s="4">
        <v>0</v>
      </c>
      <c r="Q362" s="4">
        <v>0</v>
      </c>
      <c r="R362" s="4">
        <v>0</v>
      </c>
    </row>
    <row r="363" spans="1:18" x14ac:dyDescent="0.2">
      <c r="A363" s="1">
        <v>46226</v>
      </c>
      <c r="B363" s="6">
        <v>3</v>
      </c>
      <c r="C363" t="s">
        <v>19</v>
      </c>
      <c r="D363" t="s">
        <v>66</v>
      </c>
      <c r="F363" s="11">
        <v>2</v>
      </c>
      <c r="G363" s="4">
        <v>4</v>
      </c>
      <c r="H363" s="4">
        <v>1</v>
      </c>
      <c r="I363" s="4">
        <v>0</v>
      </c>
      <c r="J363" s="7">
        <f>IFERROR(Table1[[#This Row],[2pt FGM]]/Table1[[#This Row],[2pt FGatt]],0)</f>
        <v>0</v>
      </c>
      <c r="K363" s="4">
        <v>0</v>
      </c>
      <c r="L363" s="4">
        <v>1</v>
      </c>
      <c r="M363" s="4">
        <v>0</v>
      </c>
      <c r="N363" s="8">
        <f>IFERROR(Table1[[#This Row],[3 pts]]/Table1[[#This Row],[3pt att]],0)</f>
        <v>0</v>
      </c>
      <c r="O363" s="4">
        <v>1</v>
      </c>
      <c r="P363" s="4">
        <v>3</v>
      </c>
      <c r="Q363" s="4">
        <v>1</v>
      </c>
      <c r="R363" s="4">
        <v>0</v>
      </c>
    </row>
    <row r="364" spans="1:18" x14ac:dyDescent="0.2">
      <c r="A364" s="1">
        <v>46226</v>
      </c>
      <c r="B364" s="6">
        <v>3</v>
      </c>
      <c r="C364" t="s">
        <v>18</v>
      </c>
      <c r="D364" t="s">
        <v>65</v>
      </c>
      <c r="F364" s="11">
        <v>3</v>
      </c>
      <c r="G364" s="4">
        <v>4</v>
      </c>
      <c r="H364" s="4">
        <v>3</v>
      </c>
      <c r="I364" s="4">
        <v>1</v>
      </c>
      <c r="J364" s="7">
        <f>IFERROR(Table1[[#This Row],[2pt FGM]]/Table1[[#This Row],[2pt FGatt]],0)</f>
        <v>0.33333333333333331</v>
      </c>
      <c r="K364" s="4">
        <v>2</v>
      </c>
      <c r="L364" s="4">
        <v>5</v>
      </c>
      <c r="M364" s="4">
        <v>0</v>
      </c>
      <c r="N364" s="8">
        <f>IFERROR(Table1[[#This Row],[3 pts]]/Table1[[#This Row],[3pt att]],0)</f>
        <v>0</v>
      </c>
      <c r="O364" s="4">
        <v>0</v>
      </c>
      <c r="P364" s="4">
        <v>1</v>
      </c>
      <c r="Q364" s="4">
        <v>0</v>
      </c>
      <c r="R364" s="4">
        <v>0</v>
      </c>
    </row>
    <row r="365" spans="1:18" x14ac:dyDescent="0.2">
      <c r="A365" s="1">
        <v>46226</v>
      </c>
      <c r="B365" s="6">
        <v>3</v>
      </c>
      <c r="C365" t="s">
        <v>11</v>
      </c>
      <c r="D365" t="s">
        <v>65</v>
      </c>
      <c r="F365" s="11">
        <v>3</v>
      </c>
      <c r="G365" s="4">
        <v>4</v>
      </c>
      <c r="H365" s="4">
        <v>3</v>
      </c>
      <c r="I365" s="4">
        <v>1</v>
      </c>
      <c r="J365" s="7">
        <f>IFERROR(Table1[[#This Row],[2pt FGM]]/Table1[[#This Row],[2pt FGatt]],0)</f>
        <v>0.33333333333333331</v>
      </c>
      <c r="K365" s="4">
        <v>2</v>
      </c>
      <c r="L365" s="4">
        <v>0</v>
      </c>
      <c r="M365" s="4">
        <v>0</v>
      </c>
      <c r="N365" s="8">
        <f>IFERROR(Table1[[#This Row],[3 pts]]/Table1[[#This Row],[3pt att]],0)</f>
        <v>0</v>
      </c>
      <c r="O365" s="4">
        <v>5</v>
      </c>
      <c r="P365" s="4">
        <v>2</v>
      </c>
      <c r="Q365" s="4">
        <v>1</v>
      </c>
      <c r="R365" s="4">
        <v>0</v>
      </c>
    </row>
    <row r="366" spans="1:18" x14ac:dyDescent="0.2">
      <c r="A366" s="1">
        <v>46226</v>
      </c>
      <c r="B366" s="6">
        <v>3</v>
      </c>
      <c r="C366" t="s">
        <v>20</v>
      </c>
      <c r="D366" t="s">
        <v>65</v>
      </c>
      <c r="F366" s="11">
        <v>3</v>
      </c>
      <c r="G366" s="4">
        <v>4</v>
      </c>
      <c r="H366" s="4">
        <v>2</v>
      </c>
      <c r="I366" s="4">
        <v>1</v>
      </c>
      <c r="J366" s="7">
        <f>IFERROR(Table1[[#This Row],[2pt FGM]]/Table1[[#This Row],[2pt FGatt]],0)</f>
        <v>0.5</v>
      </c>
      <c r="K366" s="4">
        <v>2</v>
      </c>
      <c r="L366" s="4">
        <v>0</v>
      </c>
      <c r="M366" s="4">
        <v>0</v>
      </c>
      <c r="N366" s="8">
        <f>IFERROR(Table1[[#This Row],[3 pts]]/Table1[[#This Row],[3pt att]],0)</f>
        <v>0</v>
      </c>
      <c r="O366" s="4">
        <v>2</v>
      </c>
      <c r="P366" s="4">
        <v>0</v>
      </c>
      <c r="Q366" s="4">
        <v>1</v>
      </c>
      <c r="R366" s="4">
        <v>0</v>
      </c>
    </row>
    <row r="367" spans="1:18" x14ac:dyDescent="0.2">
      <c r="A367" s="1">
        <v>46226</v>
      </c>
      <c r="B367" s="6">
        <v>3</v>
      </c>
      <c r="C367" t="s">
        <v>7</v>
      </c>
      <c r="D367" t="s">
        <v>65</v>
      </c>
      <c r="F367" s="11">
        <v>3</v>
      </c>
      <c r="G367" s="4">
        <v>4</v>
      </c>
      <c r="H367" s="4">
        <v>9</v>
      </c>
      <c r="I367" s="4">
        <v>3</v>
      </c>
      <c r="J367" s="7">
        <f>IFERROR(Table1[[#This Row],[2pt FGM]]/Table1[[#This Row],[2pt FGatt]],0)</f>
        <v>0.33333333333333331</v>
      </c>
      <c r="K367" s="4">
        <v>6</v>
      </c>
      <c r="L367" s="4">
        <v>1</v>
      </c>
      <c r="M367" s="4">
        <v>0</v>
      </c>
      <c r="N367" s="8">
        <f>IFERROR(Table1[[#This Row],[3 pts]]/Table1[[#This Row],[3pt att]],0)</f>
        <v>0</v>
      </c>
      <c r="O367" s="4">
        <v>8</v>
      </c>
      <c r="P367" s="4">
        <v>0</v>
      </c>
      <c r="Q367" s="4">
        <v>1</v>
      </c>
      <c r="R367" s="4">
        <v>0</v>
      </c>
    </row>
    <row r="368" spans="1:18" x14ac:dyDescent="0.2">
      <c r="A368" s="1">
        <v>46226</v>
      </c>
      <c r="B368" s="6">
        <v>3</v>
      </c>
      <c r="C368" t="s">
        <v>9</v>
      </c>
      <c r="D368" t="s">
        <v>66</v>
      </c>
      <c r="F368" s="11">
        <v>3</v>
      </c>
      <c r="G368" s="4">
        <v>4</v>
      </c>
      <c r="H368" s="4">
        <v>1</v>
      </c>
      <c r="I368" s="4">
        <v>1</v>
      </c>
      <c r="J368" s="7">
        <f>IFERROR(Table1[[#This Row],[2pt FGM]]/Table1[[#This Row],[2pt FGatt]],0)</f>
        <v>1</v>
      </c>
      <c r="K368" s="4">
        <v>2</v>
      </c>
      <c r="L368" s="4">
        <v>1</v>
      </c>
      <c r="M368" s="4">
        <v>0</v>
      </c>
      <c r="N368" s="8">
        <f>IFERROR(Table1[[#This Row],[3 pts]]/Table1[[#This Row],[3pt att]],0)</f>
        <v>0</v>
      </c>
      <c r="O368" s="4">
        <v>0</v>
      </c>
      <c r="P368" s="4">
        <v>0</v>
      </c>
      <c r="Q368" s="4">
        <v>1</v>
      </c>
      <c r="R368" s="4">
        <v>0</v>
      </c>
    </row>
    <row r="369" spans="1:18" x14ac:dyDescent="0.2">
      <c r="A369" s="1">
        <v>46226</v>
      </c>
      <c r="B369" s="6">
        <v>3</v>
      </c>
      <c r="C369" t="s">
        <v>17</v>
      </c>
      <c r="D369" t="s">
        <v>66</v>
      </c>
      <c r="F369" s="11">
        <v>3</v>
      </c>
      <c r="G369" s="4">
        <v>4</v>
      </c>
      <c r="H369" s="4">
        <v>0</v>
      </c>
      <c r="I369" s="4">
        <v>0</v>
      </c>
      <c r="J369" s="7">
        <f>IFERROR(Table1[[#This Row],[2pt FGM]]/Table1[[#This Row],[2pt FGatt]],0)</f>
        <v>0</v>
      </c>
      <c r="K369" s="4">
        <v>0</v>
      </c>
      <c r="L369" s="4">
        <v>5</v>
      </c>
      <c r="M369" s="4">
        <v>0</v>
      </c>
      <c r="N369" s="8">
        <f>IFERROR(Table1[[#This Row],[3 pts]]/Table1[[#This Row],[3pt att]],0)</f>
        <v>0</v>
      </c>
      <c r="O369" s="4">
        <v>2</v>
      </c>
      <c r="P369" s="4">
        <v>1</v>
      </c>
      <c r="Q369" s="4">
        <v>0</v>
      </c>
      <c r="R369" s="4">
        <v>0</v>
      </c>
    </row>
    <row r="370" spans="1:18" x14ac:dyDescent="0.2">
      <c r="A370" s="1">
        <v>46226</v>
      </c>
      <c r="B370" s="6">
        <v>3</v>
      </c>
      <c r="C370" t="s">
        <v>16</v>
      </c>
      <c r="D370" t="s">
        <v>66</v>
      </c>
      <c r="F370" s="11">
        <v>3</v>
      </c>
      <c r="G370" s="4">
        <v>4</v>
      </c>
      <c r="H370" s="4">
        <v>3</v>
      </c>
      <c r="I370" s="4">
        <v>1</v>
      </c>
      <c r="J370" s="7">
        <f>IFERROR(Table1[[#This Row],[2pt FGM]]/Table1[[#This Row],[2pt FGatt]],0)</f>
        <v>0.33333333333333331</v>
      </c>
      <c r="K370" s="4">
        <v>2</v>
      </c>
      <c r="L370" s="4">
        <v>0</v>
      </c>
      <c r="M370" s="4">
        <v>0</v>
      </c>
      <c r="N370" s="8">
        <f>IFERROR(Table1[[#This Row],[3 pts]]/Table1[[#This Row],[3pt att]],0)</f>
        <v>0</v>
      </c>
      <c r="O370" s="4">
        <v>6</v>
      </c>
      <c r="P370" s="4">
        <v>0</v>
      </c>
      <c r="Q370" s="4">
        <v>0</v>
      </c>
      <c r="R370" s="4">
        <v>0</v>
      </c>
    </row>
    <row r="371" spans="1:18" x14ac:dyDescent="0.2">
      <c r="A371" s="1">
        <v>46226</v>
      </c>
      <c r="B371" s="6">
        <v>3</v>
      </c>
      <c r="C371" t="s">
        <v>19</v>
      </c>
      <c r="D371" t="s">
        <v>66</v>
      </c>
      <c r="F371" s="11">
        <v>3</v>
      </c>
      <c r="G371" s="4">
        <v>4</v>
      </c>
      <c r="H371" s="4">
        <v>2</v>
      </c>
      <c r="I371" s="4">
        <v>0</v>
      </c>
      <c r="J371" s="7">
        <f>IFERROR(Table1[[#This Row],[2pt FGM]]/Table1[[#This Row],[2pt FGatt]],0)</f>
        <v>0</v>
      </c>
      <c r="K371" s="4">
        <v>0</v>
      </c>
      <c r="L371" s="4">
        <v>1</v>
      </c>
      <c r="M371" s="4">
        <v>0</v>
      </c>
      <c r="N371" s="8">
        <f>IFERROR(Table1[[#This Row],[3 pts]]/Table1[[#This Row],[3pt att]],0)</f>
        <v>0</v>
      </c>
      <c r="O371" s="4">
        <v>2</v>
      </c>
      <c r="P371" s="4">
        <v>1</v>
      </c>
      <c r="Q371" s="4">
        <v>1</v>
      </c>
      <c r="R371" s="4">
        <v>0</v>
      </c>
    </row>
    <row r="372" spans="1:18" x14ac:dyDescent="0.2">
      <c r="A372" s="1">
        <v>46226</v>
      </c>
      <c r="B372" s="6">
        <v>3</v>
      </c>
      <c r="C372" t="s">
        <v>18</v>
      </c>
      <c r="D372" t="s">
        <v>65</v>
      </c>
      <c r="F372" s="11">
        <v>4</v>
      </c>
      <c r="G372" s="4">
        <v>4</v>
      </c>
      <c r="H372" s="4">
        <v>3</v>
      </c>
      <c r="I372" s="4">
        <v>2</v>
      </c>
      <c r="J372" s="7">
        <f>IFERROR(Table1[[#This Row],[2pt FGM]]/Table1[[#This Row],[2pt FGatt]],0)</f>
        <v>0.66666666666666663</v>
      </c>
      <c r="K372" s="4">
        <v>13</v>
      </c>
      <c r="L372" s="4">
        <v>7</v>
      </c>
      <c r="M372" s="4">
        <v>3</v>
      </c>
      <c r="N372" s="8">
        <f>IFERROR(Table1[[#This Row],[3 pts]]/Table1[[#This Row],[3pt att]],0)</f>
        <v>0.42857142857142855</v>
      </c>
      <c r="O372" s="4">
        <v>2</v>
      </c>
      <c r="P372" s="4">
        <v>0</v>
      </c>
      <c r="Q372" s="4">
        <v>2</v>
      </c>
      <c r="R372" s="4">
        <v>0</v>
      </c>
    </row>
    <row r="373" spans="1:18" x14ac:dyDescent="0.2">
      <c r="A373" s="1">
        <v>46226</v>
      </c>
      <c r="B373" s="6">
        <v>3</v>
      </c>
      <c r="C373" t="s">
        <v>11</v>
      </c>
      <c r="D373" t="s">
        <v>65</v>
      </c>
      <c r="F373" s="11">
        <v>4</v>
      </c>
      <c r="G373" s="4">
        <v>4</v>
      </c>
      <c r="H373" s="4">
        <v>6</v>
      </c>
      <c r="I373" s="4">
        <v>3</v>
      </c>
      <c r="J373" s="7">
        <f>IFERROR(Table1[[#This Row],[2pt FGM]]/Table1[[#This Row],[2pt FGatt]],0)</f>
        <v>0.5</v>
      </c>
      <c r="K373" s="4">
        <v>6</v>
      </c>
      <c r="L373" s="4">
        <v>0</v>
      </c>
      <c r="M373" s="4">
        <v>0</v>
      </c>
      <c r="N373" s="8">
        <f>IFERROR(Table1[[#This Row],[3 pts]]/Table1[[#This Row],[3pt att]],0)</f>
        <v>0</v>
      </c>
      <c r="O373" s="4">
        <v>4</v>
      </c>
      <c r="P373" s="4">
        <v>2</v>
      </c>
      <c r="Q373" s="4">
        <v>3</v>
      </c>
      <c r="R373" s="4">
        <v>0</v>
      </c>
    </row>
    <row r="374" spans="1:18" x14ac:dyDescent="0.2">
      <c r="A374" s="1">
        <v>46226</v>
      </c>
      <c r="B374" s="6">
        <v>3</v>
      </c>
      <c r="C374" t="s">
        <v>20</v>
      </c>
      <c r="D374" t="s">
        <v>65</v>
      </c>
      <c r="F374" s="11">
        <v>4</v>
      </c>
      <c r="G374" s="4">
        <v>4</v>
      </c>
      <c r="H374" s="4">
        <v>0</v>
      </c>
      <c r="I374" s="4">
        <v>0</v>
      </c>
      <c r="J374" s="7">
        <f>IFERROR(Table1[[#This Row],[2pt FGM]]/Table1[[#This Row],[2pt FGatt]],0)</f>
        <v>0</v>
      </c>
      <c r="K374" s="4">
        <v>0</v>
      </c>
      <c r="L374" s="4">
        <v>2</v>
      </c>
      <c r="M374" s="4">
        <v>0</v>
      </c>
      <c r="N374" s="8">
        <f>IFERROR(Table1[[#This Row],[3 pts]]/Table1[[#This Row],[3pt att]],0)</f>
        <v>0</v>
      </c>
      <c r="O374" s="4">
        <v>0</v>
      </c>
      <c r="P374" s="4">
        <v>1</v>
      </c>
      <c r="Q374" s="4">
        <v>0</v>
      </c>
      <c r="R374" s="4">
        <v>0</v>
      </c>
    </row>
    <row r="375" spans="1:18" x14ac:dyDescent="0.2">
      <c r="A375" s="1">
        <v>46226</v>
      </c>
      <c r="B375" s="6">
        <v>3</v>
      </c>
      <c r="C375" t="s">
        <v>7</v>
      </c>
      <c r="D375" t="s">
        <v>65</v>
      </c>
      <c r="F375" s="11">
        <v>4</v>
      </c>
      <c r="G375" s="4">
        <v>4</v>
      </c>
      <c r="H375" s="4">
        <v>3</v>
      </c>
      <c r="I375" s="4">
        <v>2</v>
      </c>
      <c r="J375" s="7">
        <f>IFERROR(Table1[[#This Row],[2pt FGM]]/Table1[[#This Row],[2pt FGatt]],0)</f>
        <v>0.66666666666666663</v>
      </c>
      <c r="K375" s="4">
        <v>2</v>
      </c>
      <c r="L375" s="4">
        <v>1</v>
      </c>
      <c r="M375" s="4">
        <v>0</v>
      </c>
      <c r="N375" s="8">
        <f>IFERROR(Table1[[#This Row],[3 pts]]/Table1[[#This Row],[3pt att]],0)</f>
        <v>0</v>
      </c>
      <c r="O375" s="4">
        <v>5</v>
      </c>
      <c r="P375" s="4">
        <v>4</v>
      </c>
      <c r="Q375" s="4">
        <v>3</v>
      </c>
      <c r="R375" s="4">
        <v>0</v>
      </c>
    </row>
    <row r="376" spans="1:18" x14ac:dyDescent="0.2">
      <c r="A376" s="1">
        <v>46226</v>
      </c>
      <c r="B376" s="6">
        <v>3</v>
      </c>
      <c r="C376" t="s">
        <v>9</v>
      </c>
      <c r="D376" t="s">
        <v>66</v>
      </c>
      <c r="F376" s="11">
        <v>4</v>
      </c>
      <c r="G376" s="4">
        <v>4</v>
      </c>
      <c r="H376" s="4">
        <v>1</v>
      </c>
      <c r="I376" s="4">
        <v>1</v>
      </c>
      <c r="J376" s="7">
        <f>IFERROR(Table1[[#This Row],[2pt FGM]]/Table1[[#This Row],[2pt FGatt]],0)</f>
        <v>1</v>
      </c>
      <c r="K376" s="4">
        <v>2</v>
      </c>
      <c r="L376" s="4">
        <v>0</v>
      </c>
      <c r="M376" s="4">
        <v>0</v>
      </c>
      <c r="N376" s="8">
        <f>IFERROR(Table1[[#This Row],[3 pts]]/Table1[[#This Row],[3pt att]],0)</f>
        <v>0</v>
      </c>
      <c r="O376" s="4">
        <v>1</v>
      </c>
      <c r="P376" s="4">
        <v>2</v>
      </c>
      <c r="Q376" s="4">
        <v>3</v>
      </c>
      <c r="R376" s="4">
        <v>1</v>
      </c>
    </row>
    <row r="377" spans="1:18" x14ac:dyDescent="0.2">
      <c r="A377" s="1">
        <v>46226</v>
      </c>
      <c r="B377" s="6">
        <v>3</v>
      </c>
      <c r="C377" t="s">
        <v>17</v>
      </c>
      <c r="D377" t="s">
        <v>66</v>
      </c>
      <c r="F377" s="11">
        <v>4</v>
      </c>
      <c r="G377" s="4">
        <v>4</v>
      </c>
      <c r="H377" s="4">
        <v>3</v>
      </c>
      <c r="I377" s="4">
        <v>0</v>
      </c>
      <c r="J377" s="7">
        <f>IFERROR(Table1[[#This Row],[2pt FGM]]/Table1[[#This Row],[2pt FGatt]],0)</f>
        <v>0</v>
      </c>
      <c r="K377" s="4">
        <v>12</v>
      </c>
      <c r="L377" s="4">
        <v>6</v>
      </c>
      <c r="M377" s="4">
        <v>4</v>
      </c>
      <c r="N377" s="8">
        <f>IFERROR(Table1[[#This Row],[3 pts]]/Table1[[#This Row],[3pt att]],0)</f>
        <v>0.66666666666666663</v>
      </c>
      <c r="O377" s="4">
        <v>2</v>
      </c>
      <c r="P377" s="4">
        <v>2</v>
      </c>
      <c r="Q377" s="4">
        <v>1</v>
      </c>
      <c r="R377" s="4">
        <v>0</v>
      </c>
    </row>
    <row r="378" spans="1:18" x14ac:dyDescent="0.2">
      <c r="A378" s="1">
        <v>46226</v>
      </c>
      <c r="B378" s="6">
        <v>3</v>
      </c>
      <c r="C378" t="s">
        <v>16</v>
      </c>
      <c r="D378" t="s">
        <v>66</v>
      </c>
      <c r="F378" s="11">
        <v>4</v>
      </c>
      <c r="G378" s="4">
        <v>4</v>
      </c>
      <c r="H378" s="4">
        <v>8</v>
      </c>
      <c r="I378" s="4">
        <v>3</v>
      </c>
      <c r="J378" s="7">
        <f>IFERROR(Table1[[#This Row],[2pt FGM]]/Table1[[#This Row],[2pt FGatt]],0)</f>
        <v>0.375</v>
      </c>
      <c r="K378" s="4">
        <v>6</v>
      </c>
      <c r="L378" s="4">
        <v>0</v>
      </c>
      <c r="M378" s="4">
        <v>0</v>
      </c>
      <c r="N378" s="8">
        <f>IFERROR(Table1[[#This Row],[3 pts]]/Table1[[#This Row],[3pt att]],0)</f>
        <v>0</v>
      </c>
      <c r="O378" s="4">
        <v>6</v>
      </c>
      <c r="P378" s="4">
        <v>0</v>
      </c>
      <c r="Q378" s="4">
        <v>1</v>
      </c>
      <c r="R378" s="4">
        <v>0</v>
      </c>
    </row>
    <row r="379" spans="1:18" x14ac:dyDescent="0.2">
      <c r="A379" s="1">
        <v>46226</v>
      </c>
      <c r="B379" s="6">
        <v>3</v>
      </c>
      <c r="C379" t="s">
        <v>19</v>
      </c>
      <c r="D379" t="s">
        <v>66</v>
      </c>
      <c r="F379" s="11">
        <v>4</v>
      </c>
      <c r="G379" s="4">
        <v>4</v>
      </c>
      <c r="H379" s="4">
        <v>1</v>
      </c>
      <c r="I379" s="4">
        <v>0</v>
      </c>
      <c r="J379" s="7">
        <f>IFERROR(Table1[[#This Row],[2pt FGM]]/Table1[[#This Row],[2pt FGatt]],0)</f>
        <v>0</v>
      </c>
      <c r="K379" s="4">
        <v>6</v>
      </c>
      <c r="L379" s="4">
        <v>5</v>
      </c>
      <c r="M379" s="4">
        <v>2</v>
      </c>
      <c r="N379" s="8">
        <f>IFERROR(Table1[[#This Row],[3 pts]]/Table1[[#This Row],[3pt att]],0)</f>
        <v>0.4</v>
      </c>
      <c r="O379" s="4">
        <v>1</v>
      </c>
      <c r="P379" s="4">
        <v>3</v>
      </c>
      <c r="Q379" s="4">
        <v>2</v>
      </c>
      <c r="R379" s="4">
        <v>0</v>
      </c>
    </row>
    <row r="380" spans="1:18" x14ac:dyDescent="0.2">
      <c r="A380" s="6"/>
      <c r="G380" s="4"/>
      <c r="H380" s="4"/>
      <c r="I380" s="4"/>
      <c r="J380" s="7">
        <f>IFERROR(Table1[[#This Row],[2pt FGM]]/Table1[[#This Row],[2pt FGatt]],0)</f>
        <v>0</v>
      </c>
      <c r="K380" s="4"/>
      <c r="L380" s="4"/>
      <c r="M380" s="4"/>
      <c r="N380" s="8">
        <f>IFERROR(Table1[[#This Row],[3 pts]]/Table1[[#This Row],[3pt att]],0)</f>
        <v>0</v>
      </c>
      <c r="O380" s="4"/>
      <c r="P380" s="4"/>
      <c r="Q380" s="4"/>
      <c r="R380" s="4"/>
    </row>
    <row r="381" spans="1:18" x14ac:dyDescent="0.2">
      <c r="A381" s="6"/>
      <c r="G381" s="4"/>
      <c r="H381" s="4"/>
      <c r="I381" s="4"/>
      <c r="J381" s="7">
        <f>IFERROR(Table1[[#This Row],[2pt FGM]]/Table1[[#This Row],[2pt FGatt]],0)</f>
        <v>0</v>
      </c>
      <c r="K381" s="4"/>
      <c r="L381" s="4"/>
      <c r="M381" s="4"/>
      <c r="N381" s="8">
        <f>IFERROR(Table1[[#This Row],[3 pts]]/Table1[[#This Row],[3pt att]],0)</f>
        <v>0</v>
      </c>
      <c r="O381" s="4"/>
      <c r="P381" s="4"/>
      <c r="Q381" s="4"/>
      <c r="R381" s="4"/>
    </row>
    <row r="382" spans="1:18" x14ac:dyDescent="0.2">
      <c r="A382" s="1" t="s">
        <v>32</v>
      </c>
      <c r="F382" s="6"/>
      <c r="H382" s="2">
        <f>SUBTOTAL(109,Table1[2pt FGatt])</f>
        <v>1148</v>
      </c>
      <c r="I382" s="2">
        <f>SUBTOTAL(109,Table1[2pt FGM])</f>
        <v>391</v>
      </c>
      <c r="J382" s="7"/>
      <c r="K382" s="2">
        <f>SUBTOTAL(109,Table1[Points])</f>
        <v>2084</v>
      </c>
      <c r="M382" s="2"/>
      <c r="N382" s="8"/>
      <c r="R382" s="2"/>
    </row>
  </sheetData>
  <phoneticPr fontId="1" alignment="center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29-87CE-F448-93CE-00CD5D707AE0}">
  <dimension ref="A1:K27"/>
  <sheetViews>
    <sheetView zoomScaleNormal="150" zoomScaleSheetLayoutView="100" workbookViewId="0">
      <selection activeCell="D26" sqref="D26"/>
    </sheetView>
  </sheetViews>
  <sheetFormatPr defaultRowHeight="15" x14ac:dyDescent="0.2"/>
  <cols>
    <col min="1" max="1" width="7.12890625" bestFit="1" customWidth="1"/>
    <col min="2" max="2" width="13.31640625" customWidth="1"/>
    <col min="3" max="3" width="14.2578125" bestFit="1" customWidth="1"/>
    <col min="4" max="4" width="10.4921875" bestFit="1" customWidth="1"/>
    <col min="5" max="5" width="11.1640625" bestFit="1" customWidth="1"/>
    <col min="6" max="6" width="11.43359375" bestFit="1" customWidth="1"/>
    <col min="7" max="7" width="10.89453125" bestFit="1" customWidth="1"/>
    <col min="8" max="8" width="14.390625" bestFit="1" customWidth="1"/>
    <col min="9" max="9" width="13.5859375" bestFit="1" customWidth="1"/>
    <col min="10" max="10" width="15.87109375" bestFit="1" customWidth="1"/>
    <col min="11" max="11" width="16.27734375" bestFit="1" customWidth="1"/>
    <col min="12" max="12" width="12.10546875" bestFit="1" customWidth="1"/>
    <col min="13" max="13" width="10.89453125" bestFit="1" customWidth="1"/>
    <col min="14" max="14" width="12.10546875" bestFit="1" customWidth="1"/>
    <col min="15" max="15" width="10.89453125" bestFit="1" customWidth="1"/>
    <col min="16" max="16" width="12.10546875" bestFit="1" customWidth="1"/>
    <col min="17" max="17" width="15.19921875" bestFit="1" customWidth="1"/>
    <col min="18" max="18" width="16.54296875" bestFit="1" customWidth="1"/>
  </cols>
  <sheetData>
    <row r="1" spans="1:11" x14ac:dyDescent="0.2">
      <c r="A1" s="3" t="s">
        <v>37</v>
      </c>
      <c r="B1" s="9">
        <v>3</v>
      </c>
    </row>
    <row r="3" spans="1:11" x14ac:dyDescent="0.2">
      <c r="A3" s="3" t="s">
        <v>1</v>
      </c>
      <c r="B3" t="s">
        <v>25</v>
      </c>
      <c r="C3" t="s">
        <v>21</v>
      </c>
      <c r="D3" t="s">
        <v>24</v>
      </c>
      <c r="E3" t="s">
        <v>23</v>
      </c>
      <c r="F3" t="s">
        <v>22</v>
      </c>
      <c r="G3" t="s">
        <v>15</v>
      </c>
      <c r="H3" t="s">
        <v>33</v>
      </c>
      <c r="I3" t="s">
        <v>34</v>
      </c>
    </row>
    <row r="4" spans="1:11" x14ac:dyDescent="0.2">
      <c r="A4" t="s">
        <v>18</v>
      </c>
      <c r="B4" s="5">
        <v>1</v>
      </c>
      <c r="C4" s="5">
        <v>10</v>
      </c>
      <c r="D4" s="5">
        <v>22</v>
      </c>
      <c r="E4" s="5">
        <v>18</v>
      </c>
      <c r="F4" s="5">
        <v>26</v>
      </c>
      <c r="G4" s="5">
        <v>79</v>
      </c>
      <c r="H4" s="6">
        <v>47</v>
      </c>
      <c r="I4" s="6">
        <v>14</v>
      </c>
      <c r="K4" s="5">
        <f>SUM(G4,E4,D4,C4,B4,F4)</f>
        <v>156</v>
      </c>
    </row>
    <row r="5" spans="1:11" x14ac:dyDescent="0.2">
      <c r="A5" t="s">
        <v>11</v>
      </c>
      <c r="B5" s="5">
        <v>1</v>
      </c>
      <c r="C5" s="5">
        <v>27</v>
      </c>
      <c r="D5" s="5">
        <v>28</v>
      </c>
      <c r="E5" s="5">
        <v>60</v>
      </c>
      <c r="F5" s="5">
        <v>2</v>
      </c>
      <c r="G5" s="5">
        <v>46</v>
      </c>
      <c r="H5" s="6">
        <v>75</v>
      </c>
      <c r="I5" s="6">
        <v>20</v>
      </c>
      <c r="K5" s="5">
        <f t="shared" ref="K5:K11" si="0">SUM(G5,E5,D5,C5,B5,F5)</f>
        <v>164</v>
      </c>
    </row>
    <row r="6" spans="1:11" x14ac:dyDescent="0.2">
      <c r="A6" t="s">
        <v>19</v>
      </c>
      <c r="B6" s="5">
        <v>5</v>
      </c>
      <c r="C6" s="5">
        <v>25</v>
      </c>
      <c r="D6" s="5">
        <v>33</v>
      </c>
      <c r="E6" s="5">
        <v>55</v>
      </c>
      <c r="F6" s="5">
        <v>16</v>
      </c>
      <c r="G6" s="5">
        <v>93</v>
      </c>
      <c r="H6" s="6">
        <v>57</v>
      </c>
      <c r="I6" s="6">
        <v>24</v>
      </c>
      <c r="K6" s="5">
        <f t="shared" si="0"/>
        <v>227</v>
      </c>
    </row>
    <row r="7" spans="1:11" x14ac:dyDescent="0.2">
      <c r="A7" t="s">
        <v>20</v>
      </c>
      <c r="B7" s="5">
        <v>0</v>
      </c>
      <c r="C7" s="5">
        <v>15</v>
      </c>
      <c r="D7" s="5">
        <v>9</v>
      </c>
      <c r="E7" s="5">
        <v>31</v>
      </c>
      <c r="F7" s="5">
        <v>0</v>
      </c>
      <c r="G7" s="5">
        <v>24</v>
      </c>
      <c r="H7" s="6">
        <v>34</v>
      </c>
      <c r="I7" s="6">
        <v>12</v>
      </c>
      <c r="K7" s="5">
        <f t="shared" si="0"/>
        <v>79</v>
      </c>
    </row>
    <row r="8" spans="1:11" x14ac:dyDescent="0.2">
      <c r="A8" t="s">
        <v>17</v>
      </c>
      <c r="B8" s="5">
        <v>0</v>
      </c>
      <c r="C8" s="5">
        <v>10</v>
      </c>
      <c r="D8" s="5">
        <v>17</v>
      </c>
      <c r="E8" s="5">
        <v>23</v>
      </c>
      <c r="F8" s="5">
        <v>6</v>
      </c>
      <c r="G8" s="5">
        <v>32</v>
      </c>
      <c r="H8" s="6">
        <v>38</v>
      </c>
      <c r="I8" s="6">
        <v>7</v>
      </c>
      <c r="K8" s="5">
        <f t="shared" si="0"/>
        <v>88</v>
      </c>
    </row>
    <row r="9" spans="1:11" x14ac:dyDescent="0.2">
      <c r="A9" t="s">
        <v>9</v>
      </c>
      <c r="B9" s="5">
        <v>6</v>
      </c>
      <c r="C9" s="5">
        <v>34</v>
      </c>
      <c r="D9" s="5">
        <v>27</v>
      </c>
      <c r="E9" s="5">
        <v>41</v>
      </c>
      <c r="F9" s="5">
        <v>6</v>
      </c>
      <c r="G9" s="5">
        <v>50</v>
      </c>
      <c r="H9" s="6">
        <v>33</v>
      </c>
      <c r="I9" s="6">
        <v>16</v>
      </c>
      <c r="K9" s="5">
        <f t="shared" si="0"/>
        <v>164</v>
      </c>
    </row>
    <row r="10" spans="1:11" x14ac:dyDescent="0.2">
      <c r="A10" t="s">
        <v>16</v>
      </c>
      <c r="B10" s="5">
        <v>12</v>
      </c>
      <c r="C10" s="5">
        <v>12</v>
      </c>
      <c r="D10" s="5">
        <v>6</v>
      </c>
      <c r="E10" s="5">
        <v>105</v>
      </c>
      <c r="F10" s="5">
        <v>2</v>
      </c>
      <c r="G10" s="5">
        <v>74</v>
      </c>
      <c r="H10" s="6">
        <v>88</v>
      </c>
      <c r="I10" s="6">
        <v>34</v>
      </c>
      <c r="K10" s="5">
        <f t="shared" si="0"/>
        <v>211</v>
      </c>
    </row>
    <row r="11" spans="1:11" x14ac:dyDescent="0.2">
      <c r="A11" t="s">
        <v>7</v>
      </c>
      <c r="B11" s="5">
        <v>0</v>
      </c>
      <c r="C11" s="5">
        <v>22</v>
      </c>
      <c r="D11" s="5">
        <v>52</v>
      </c>
      <c r="E11" s="5">
        <v>150</v>
      </c>
      <c r="F11" s="5">
        <v>4</v>
      </c>
      <c r="G11" s="5">
        <v>92</v>
      </c>
      <c r="H11" s="6">
        <v>88</v>
      </c>
      <c r="I11" s="6">
        <v>41</v>
      </c>
      <c r="K11" s="5">
        <f>SUM(G11,E11,D11,C11,B11,F11)</f>
        <v>320</v>
      </c>
    </row>
    <row r="15" spans="1:11" x14ac:dyDescent="0.2">
      <c r="A15" s="3" t="s">
        <v>2</v>
      </c>
      <c r="B15" t="s">
        <v>67</v>
      </c>
    </row>
    <row r="17" spans="1:8" x14ac:dyDescent="0.2">
      <c r="B17" s="3" t="s">
        <v>37</v>
      </c>
      <c r="C17" s="3" t="s">
        <v>38</v>
      </c>
    </row>
    <row r="18" spans="1:8" x14ac:dyDescent="0.2"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</row>
    <row r="19" spans="1:8" x14ac:dyDescent="0.2">
      <c r="A19" s="3" t="s">
        <v>1</v>
      </c>
      <c r="B19" t="s">
        <v>15</v>
      </c>
      <c r="C19" t="s">
        <v>23</v>
      </c>
      <c r="D19" t="s">
        <v>21</v>
      </c>
      <c r="E19" t="s">
        <v>24</v>
      </c>
      <c r="F19" t="s">
        <v>25</v>
      </c>
      <c r="G19" t="s">
        <v>22</v>
      </c>
    </row>
    <row r="20" spans="1:8" x14ac:dyDescent="0.2">
      <c r="A20" t="s">
        <v>18</v>
      </c>
      <c r="B20" s="6">
        <v>79</v>
      </c>
      <c r="C20" s="6">
        <v>18</v>
      </c>
      <c r="D20" s="6">
        <v>10</v>
      </c>
      <c r="E20" s="6">
        <v>22</v>
      </c>
      <c r="F20" s="6">
        <v>1</v>
      </c>
      <c r="G20" s="6">
        <v>26</v>
      </c>
      <c r="H20">
        <f>SUM(B20:G20)</f>
        <v>156</v>
      </c>
    </row>
    <row r="21" spans="1:8" x14ac:dyDescent="0.2">
      <c r="A21" t="s">
        <v>11</v>
      </c>
      <c r="B21" s="6">
        <v>46</v>
      </c>
      <c r="C21" s="6">
        <v>60</v>
      </c>
      <c r="D21" s="6">
        <v>27</v>
      </c>
      <c r="E21" s="6">
        <v>28</v>
      </c>
      <c r="F21" s="6">
        <v>1</v>
      </c>
      <c r="G21" s="6">
        <v>2</v>
      </c>
      <c r="H21">
        <f t="shared" ref="H21:H27" si="1">SUM(B21:G21)</f>
        <v>164</v>
      </c>
    </row>
    <row r="22" spans="1:8" x14ac:dyDescent="0.2">
      <c r="A22" t="s">
        <v>19</v>
      </c>
      <c r="B22" s="6">
        <v>93</v>
      </c>
      <c r="C22" s="6">
        <v>55</v>
      </c>
      <c r="D22" s="6">
        <v>25</v>
      </c>
      <c r="E22" s="6">
        <v>33</v>
      </c>
      <c r="F22" s="6">
        <v>5</v>
      </c>
      <c r="G22" s="6">
        <v>16</v>
      </c>
      <c r="H22">
        <f t="shared" si="1"/>
        <v>227</v>
      </c>
    </row>
    <row r="23" spans="1:8" x14ac:dyDescent="0.2">
      <c r="A23" t="s">
        <v>20</v>
      </c>
      <c r="B23" s="6">
        <v>24</v>
      </c>
      <c r="C23" s="6">
        <v>31</v>
      </c>
      <c r="D23" s="6">
        <v>15</v>
      </c>
      <c r="E23" s="6">
        <v>9</v>
      </c>
      <c r="F23" s="6">
        <v>0</v>
      </c>
      <c r="G23" s="6">
        <v>0</v>
      </c>
      <c r="H23">
        <f t="shared" si="1"/>
        <v>79</v>
      </c>
    </row>
    <row r="24" spans="1:8" x14ac:dyDescent="0.2">
      <c r="A24" t="s">
        <v>17</v>
      </c>
      <c r="B24" s="6">
        <v>32</v>
      </c>
      <c r="C24" s="6">
        <v>23</v>
      </c>
      <c r="D24" s="6">
        <v>10</v>
      </c>
      <c r="E24" s="6">
        <v>17</v>
      </c>
      <c r="F24" s="6">
        <v>0</v>
      </c>
      <c r="G24" s="6">
        <v>6</v>
      </c>
      <c r="H24">
        <f t="shared" si="1"/>
        <v>88</v>
      </c>
    </row>
    <row r="25" spans="1:8" x14ac:dyDescent="0.2">
      <c r="A25" t="s">
        <v>9</v>
      </c>
      <c r="B25" s="6">
        <v>50</v>
      </c>
      <c r="C25" s="6">
        <v>41</v>
      </c>
      <c r="D25" s="6">
        <v>34</v>
      </c>
      <c r="E25" s="6">
        <v>27</v>
      </c>
      <c r="F25" s="6">
        <v>6</v>
      </c>
      <c r="G25" s="6">
        <v>6</v>
      </c>
      <c r="H25">
        <f t="shared" si="1"/>
        <v>164</v>
      </c>
    </row>
    <row r="26" spans="1:8" x14ac:dyDescent="0.2">
      <c r="A26" t="s">
        <v>16</v>
      </c>
      <c r="B26" s="6">
        <v>74</v>
      </c>
      <c r="C26" s="6">
        <v>105</v>
      </c>
      <c r="D26" s="6">
        <v>12</v>
      </c>
      <c r="E26" s="6">
        <v>6</v>
      </c>
      <c r="F26" s="6">
        <v>12</v>
      </c>
      <c r="G26" s="6">
        <v>2</v>
      </c>
      <c r="H26">
        <f t="shared" si="1"/>
        <v>211</v>
      </c>
    </row>
    <row r="27" spans="1:8" x14ac:dyDescent="0.2">
      <c r="A27" t="s">
        <v>7</v>
      </c>
      <c r="B27" s="6">
        <v>92</v>
      </c>
      <c r="C27" s="6">
        <v>150</v>
      </c>
      <c r="D27" s="6">
        <v>22</v>
      </c>
      <c r="E27" s="6">
        <v>52</v>
      </c>
      <c r="F27" s="6">
        <v>0</v>
      </c>
      <c r="G27" s="6">
        <v>4</v>
      </c>
      <c r="H27">
        <f t="shared" si="1"/>
        <v>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73E6-C193-BD49-8119-E50518DF924F}">
  <dimension ref="A1:L9"/>
  <sheetViews>
    <sheetView zoomScaleNormal="150" zoomScaleSheetLayoutView="100" workbookViewId="0">
      <selection activeCell="G19" sqref="G19"/>
    </sheetView>
  </sheetViews>
  <sheetFormatPr defaultRowHeight="15" x14ac:dyDescent="0.2"/>
  <cols>
    <col min="1" max="1" width="11.97265625" customWidth="1"/>
    <col min="2" max="2" width="9.01171875" customWidth="1"/>
    <col min="3" max="3" width="9.953125" customWidth="1"/>
    <col min="4" max="4" width="6.05078125" customWidth="1"/>
    <col min="5" max="6" width="9.953125" customWidth="1"/>
    <col min="7" max="9" width="13.98828125" customWidth="1"/>
    <col min="10" max="11" width="18.0234375" customWidth="1"/>
    <col min="12" max="12" width="29.99609375" customWidth="1"/>
  </cols>
  <sheetData>
    <row r="1" spans="1:12" x14ac:dyDescent="0.2">
      <c r="A1" s="10" t="s">
        <v>1</v>
      </c>
      <c r="B1" s="10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  <c r="K1" s="10" t="s">
        <v>48</v>
      </c>
      <c r="L1" s="10" t="s">
        <v>49</v>
      </c>
    </row>
    <row r="2" spans="1:12" x14ac:dyDescent="0.2">
      <c r="A2" t="s">
        <v>18</v>
      </c>
      <c r="D2">
        <v>12</v>
      </c>
      <c r="G2">
        <v>2</v>
      </c>
      <c r="H2" t="s">
        <v>56</v>
      </c>
      <c r="J2" t="s">
        <v>63</v>
      </c>
    </row>
    <row r="3" spans="1:12" x14ac:dyDescent="0.2">
      <c r="A3" t="s">
        <v>11</v>
      </c>
      <c r="G3">
        <v>2</v>
      </c>
      <c r="H3" t="s">
        <v>56</v>
      </c>
    </row>
    <row r="4" spans="1:12" x14ac:dyDescent="0.2">
      <c r="A4" t="s">
        <v>19</v>
      </c>
      <c r="B4" t="s">
        <v>54</v>
      </c>
      <c r="D4">
        <v>15</v>
      </c>
      <c r="G4">
        <v>2</v>
      </c>
      <c r="H4" t="s">
        <v>56</v>
      </c>
    </row>
    <row r="5" spans="1:12" x14ac:dyDescent="0.2">
      <c r="A5" t="s">
        <v>20</v>
      </c>
      <c r="B5" t="s">
        <v>54</v>
      </c>
      <c r="D5">
        <v>39</v>
      </c>
      <c r="F5">
        <v>7</v>
      </c>
      <c r="G5">
        <v>2</v>
      </c>
      <c r="H5" t="s">
        <v>57</v>
      </c>
    </row>
    <row r="6" spans="1:12" x14ac:dyDescent="0.2">
      <c r="A6" t="s">
        <v>17</v>
      </c>
      <c r="B6" t="s">
        <v>55</v>
      </c>
      <c r="D6">
        <v>12</v>
      </c>
      <c r="F6">
        <v>5</v>
      </c>
      <c r="G6">
        <v>2</v>
      </c>
      <c r="H6" t="s">
        <v>57</v>
      </c>
      <c r="I6" t="s">
        <v>60</v>
      </c>
      <c r="J6" t="s">
        <v>62</v>
      </c>
    </row>
    <row r="7" spans="1:12" x14ac:dyDescent="0.2">
      <c r="A7" t="s">
        <v>9</v>
      </c>
      <c r="D7">
        <v>15</v>
      </c>
      <c r="F7">
        <v>0</v>
      </c>
      <c r="G7">
        <v>2</v>
      </c>
      <c r="H7" t="s">
        <v>58</v>
      </c>
      <c r="J7" t="s">
        <v>53</v>
      </c>
    </row>
    <row r="8" spans="1:12" x14ac:dyDescent="0.2">
      <c r="A8" t="s">
        <v>16</v>
      </c>
      <c r="B8" t="s">
        <v>54</v>
      </c>
      <c r="D8">
        <v>14</v>
      </c>
      <c r="F8">
        <v>34</v>
      </c>
      <c r="G8">
        <v>2</v>
      </c>
      <c r="H8" t="s">
        <v>57</v>
      </c>
      <c r="I8" t="s">
        <v>59</v>
      </c>
      <c r="J8" t="s">
        <v>61</v>
      </c>
    </row>
    <row r="9" spans="1:12" x14ac:dyDescent="0.2">
      <c r="A9" t="s">
        <v>7</v>
      </c>
      <c r="B9" t="s">
        <v>50</v>
      </c>
      <c r="D9">
        <v>38</v>
      </c>
      <c r="E9" t="s">
        <v>52</v>
      </c>
      <c r="F9">
        <v>2</v>
      </c>
      <c r="G9">
        <v>2</v>
      </c>
      <c r="H9" t="s">
        <v>58</v>
      </c>
      <c r="I9" t="s">
        <v>7</v>
      </c>
      <c r="J9" t="s">
        <v>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822615-a898-4c29-b84d-4fc4e77282e2}" enabled="0" method="" siteId="{a6822615-a898-4c29-b84d-4fc4e77282e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</vt:lpstr>
      <vt:lpstr>SUMMARY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Peters</dc:creator>
  <dcterms:created xsi:type="dcterms:W3CDTF">2025-08-17T18:01:28Z</dcterms:created>
</cp:coreProperties>
</file>